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<sst xmlns="http://schemas.openxmlformats.org/spreadsheetml/2006/main" count="130" uniqueCount="130">
  <si>
    <t xml:space="preserve">RESUMEN EJECUTIVO DE VENTAS POR SEMANA</t>
  </si>
  <si>
    <t xml:space="preserve">Análisis consolidado por semana con indicadores clave de rendimiento (KPIs) y variación semana a semana (WoW)</t>
  </si>
  <si>
    <t xml:space="preserve">VENTAS TOTALES</t>
  </si>
  <si>
    <t xml:space="preserve">UNIDADES VENDIDAS</t>
  </si>
  <si>
    <t xml:space="preserve">TICKET PROMEDIO GENERAL</t>
  </si>
  <si>
    <t xml:space="preserve">Año</t>
  </si>
  <si>
    <t xml:space="preserve">Semana N°</t>
  </si>
  <si>
    <t xml:space="preserve">Año - Semana</t>
  </si>
  <si>
    <t xml:space="preserve">Ventas Totales ($)</t>
  </si>
  <si>
    <t xml:space="preserve">Ticket Promedio ($)</t>
  </si>
  <si>
    <t xml:space="preserve">Unidades Vendidas</t>
  </si>
  <si>
    <t xml:space="preserve">Cantidad Pedidos</t>
  </si>
  <si>
    <t xml:space="preserve">Ventas Sem. Anterior ($)</t>
  </si>
  <si>
    <t xml:space="preserve">Variación WoW (%)</t>
  </si>
  <si>
    <t xml:space="preserve">Alerta</t>
  </si>
  <si>
    <t xml:space="preserve">2003-W02</t>
  </si>
  <si>
    <t xml:space="preserve">2003-W05</t>
  </si>
  <si>
    <t xml:space="preserve">2003-W07</t>
  </si>
  <si>
    <t xml:space="preserve">2003-W08</t>
  </si>
  <si>
    <t xml:space="preserve">2003-W09</t>
  </si>
  <si>
    <t xml:space="preserve">2003-W10</t>
  </si>
  <si>
    <t xml:space="preserve">2003-W11</t>
  </si>
  <si>
    <t xml:space="preserve">2003-W12</t>
  </si>
  <si>
    <t xml:space="preserve">2003-W13</t>
  </si>
  <si>
    <t xml:space="preserve">2003-W14</t>
  </si>
  <si>
    <t xml:space="preserve">2003-W15</t>
  </si>
  <si>
    <t xml:space="preserve">2003-W16</t>
  </si>
  <si>
    <t xml:space="preserve">2003-W17</t>
  </si>
  <si>
    <t xml:space="preserve">2003-W18</t>
  </si>
  <si>
    <t xml:space="preserve">2003-W19</t>
  </si>
  <si>
    <t xml:space="preserve">2003-W21</t>
  </si>
  <si>
    <t xml:space="preserve">2003-W22</t>
  </si>
  <si>
    <t xml:space="preserve">2003-W23</t>
  </si>
  <si>
    <t xml:space="preserve">2003-W24</t>
  </si>
  <si>
    <t xml:space="preserve">2003-W25</t>
  </si>
  <si>
    <t xml:space="preserve">2003-W26</t>
  </si>
  <si>
    <t xml:space="preserve">2003-W27</t>
  </si>
  <si>
    <t xml:space="preserve">2003-W28</t>
  </si>
  <si>
    <t xml:space="preserve">2003-W29</t>
  </si>
  <si>
    <t xml:space="preserve">2003-W30</t>
  </si>
  <si>
    <t xml:space="preserve">2003-W31</t>
  </si>
  <si>
    <t xml:space="preserve">2003-W32</t>
  </si>
  <si>
    <t xml:space="preserve">2003-W33</t>
  </si>
  <si>
    <t xml:space="preserve">2003-W35</t>
  </si>
  <si>
    <t xml:space="preserve">2003-W36</t>
  </si>
  <si>
    <t xml:space="preserve">2003-W37</t>
  </si>
  <si>
    <t xml:space="preserve">2003-W38</t>
  </si>
  <si>
    <t xml:space="preserve">2003-W39</t>
  </si>
  <si>
    <t xml:space="preserve">2003-W40</t>
  </si>
  <si>
    <t xml:space="preserve">2003-W41</t>
  </si>
  <si>
    <t xml:space="preserve">2003-W42</t>
  </si>
  <si>
    <t xml:space="preserve">2003-W43</t>
  </si>
  <si>
    <t xml:space="preserve">2003-W44</t>
  </si>
  <si>
    <t xml:space="preserve">2003-W45</t>
  </si>
  <si>
    <t xml:space="preserve">2003-W46</t>
  </si>
  <si>
    <t xml:space="preserve">2003-W47</t>
  </si>
  <si>
    <t xml:space="preserve">2003-W48</t>
  </si>
  <si>
    <t xml:space="preserve">2003-W49</t>
  </si>
  <si>
    <t xml:space="preserve">2003-W50</t>
  </si>
  <si>
    <t xml:space="preserve">2004-W01</t>
  </si>
  <si>
    <t xml:space="preserve">2004-W02</t>
  </si>
  <si>
    <t xml:space="preserve">2004-W03</t>
  </si>
  <si>
    <t xml:space="preserve">2004-W04</t>
  </si>
  <si>
    <t xml:space="preserve">2004-W05</t>
  </si>
  <si>
    <t xml:space="preserve">2004-W06</t>
  </si>
  <si>
    <t xml:space="preserve">2004-W07</t>
  </si>
  <si>
    <t xml:space="preserve">2004-W08</t>
  </si>
  <si>
    <t xml:space="preserve">2004-W09</t>
  </si>
  <si>
    <t xml:space="preserve">2004-W10</t>
  </si>
  <si>
    <t xml:space="preserve">2004-W11</t>
  </si>
  <si>
    <t xml:space="preserve">2004-W12</t>
  </si>
  <si>
    <t xml:space="preserve">2004-W14</t>
  </si>
  <si>
    <t xml:space="preserve">2004-W15</t>
  </si>
  <si>
    <t xml:space="preserve">2004-W16</t>
  </si>
  <si>
    <t xml:space="preserve">2004-W17</t>
  </si>
  <si>
    <t xml:space="preserve">2004-W18</t>
  </si>
  <si>
    <t xml:space="preserve">2004-W19</t>
  </si>
  <si>
    <t xml:space="preserve">2004-W20</t>
  </si>
  <si>
    <t xml:space="preserve">2004-W21</t>
  </si>
  <si>
    <t xml:space="preserve">2004-W22</t>
  </si>
  <si>
    <t xml:space="preserve">2004-W23</t>
  </si>
  <si>
    <t xml:space="preserve">2004-W24</t>
  </si>
  <si>
    <t xml:space="preserve">2004-W25</t>
  </si>
  <si>
    <t xml:space="preserve">2004-W26</t>
  </si>
  <si>
    <t xml:space="preserve">2004-W27</t>
  </si>
  <si>
    <t xml:space="preserve">2004-W28</t>
  </si>
  <si>
    <t xml:space="preserve">2004-W29</t>
  </si>
  <si>
    <t xml:space="preserve">2004-W30</t>
  </si>
  <si>
    <t xml:space="preserve">2004-W32</t>
  </si>
  <si>
    <t xml:space="preserve">2004-W33</t>
  </si>
  <si>
    <t xml:space="preserve">2004-W34</t>
  </si>
  <si>
    <t xml:space="preserve">2004-W35</t>
  </si>
  <si>
    <t xml:space="preserve">2004-W36</t>
  </si>
  <si>
    <t xml:space="preserve">2004-W37</t>
  </si>
  <si>
    <t xml:space="preserve">2004-W38</t>
  </si>
  <si>
    <t xml:space="preserve">2004-W40</t>
  </si>
  <si>
    <t xml:space="preserve">2004-W41</t>
  </si>
  <si>
    <t xml:space="preserve">2004-W42</t>
  </si>
  <si>
    <t xml:space="preserve">2004-W43</t>
  </si>
  <si>
    <t xml:space="preserve">2004-W44</t>
  </si>
  <si>
    <t xml:space="preserve">2004-W45</t>
  </si>
  <si>
    <t xml:space="preserve">2004-W46</t>
  </si>
  <si>
    <t xml:space="preserve">2004-W47</t>
  </si>
  <si>
    <t xml:space="preserve">2004-W48</t>
  </si>
  <si>
    <t xml:space="preserve">2004-W49</t>
  </si>
  <si>
    <t xml:space="preserve">2004-W50</t>
  </si>
  <si>
    <t xml:space="preserve">2004-W51</t>
  </si>
  <si>
    <t xml:space="preserve">2005-W01</t>
  </si>
  <si>
    <t xml:space="preserve">2005-W02</t>
  </si>
  <si>
    <t xml:space="preserve">2005-W03</t>
  </si>
  <si>
    <t xml:space="preserve">2005-W04</t>
  </si>
  <si>
    <t xml:space="preserve">2005-W05</t>
  </si>
  <si>
    <t xml:space="preserve">2005-W06</t>
  </si>
  <si>
    <t xml:space="preserve">2005-W07</t>
  </si>
  <si>
    <t xml:space="preserve">2005-W08</t>
  </si>
  <si>
    <t xml:space="preserve">2005-W09</t>
  </si>
  <si>
    <t xml:space="preserve">2005-W10</t>
  </si>
  <si>
    <t xml:space="preserve">2005-W11</t>
  </si>
  <si>
    <t xml:space="preserve">2005-W12</t>
  </si>
  <si>
    <t xml:space="preserve">2005-W13</t>
  </si>
  <si>
    <t xml:space="preserve">2005-W14</t>
  </si>
  <si>
    <t xml:space="preserve">2005-W15</t>
  </si>
  <si>
    <t xml:space="preserve">2005-W16</t>
  </si>
  <si>
    <t xml:space="preserve">2005-W17</t>
  </si>
  <si>
    <t xml:space="preserve">2005-W18</t>
  </si>
  <si>
    <t xml:space="preserve">2005-W19</t>
  </si>
  <si>
    <t xml:space="preserve">2005-W20</t>
  </si>
  <si>
    <t xml:space="preserve">2005-W21</t>
  </si>
  <si>
    <t xml:space="preserve">2005-W22</t>
  </si>
  <si>
    <t xml:space="preserve">TOTAL / PROMEDIO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</si>
</sst>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"/>
    <numFmt numFmtId="167" formatCode="\+0.0%;\-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</row>
    <row r="5" customFormat="false" ht="16.15" hidden="false" customHeight="false" outlineLevel="0" collapsed="false">
      <c r="A5" s="4" t="n">
        <v>10032628.85</v>
      </c>
      <c r="B5" s="4"/>
      <c r="C5" s="4"/>
      <c r="D5" s="5" t="n">
        <v>99067</v>
      </c>
      <c r="E5" s="5"/>
      <c r="F5" s="5"/>
      <c r="G5" s="4" t="n">
        <v>32121.57</v>
      </c>
      <c r="H5" s="4"/>
      <c r="I5" s="4"/>
    </row>
    <row r="8" customFormat="false" ht="23.85" hidden="false" customHeight="false" outlineLevel="0" collapsed="false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</row>
    <row r="9" customFormat="false" ht="15" hidden="false" customHeight="false" outlineLevel="0" collapsed="false">
      <c r="A9" s="7" t="n">
        <v>2003</v>
      </c>
      <c r="B9" s="7" t="n">
        <v>2</v>
      </c>
      <c r="C9" s="7" t="s">
        <v>15</v>
      </c>
      <c r="D9" s="8" t="n">
        <v>30429.64</v>
      </c>
      <c r="E9" s="8" t="n">
        <v>10143.21</v>
      </c>
      <c r="F9" s="7" t="n">
        <v>373</v>
      </c>
      <c r="G9" s="7" t="n">
        <v>3</v>
      </c>
      <c r="H9" s="9"/>
      <c r="I9" s="7"/>
      <c r="J9" s="7" t="str">
        <f aca="false">IF(I9&lt;-0.15,"ALERTA","")</f>
        <v/>
      </c>
    </row>
    <row r="10" customFormat="false" ht="15" hidden="false" customHeight="false" outlineLevel="0" collapsed="false">
      <c r="A10" s="7" t="n">
        <v>2003</v>
      </c>
      <c r="B10" s="7" t="n">
        <v>5</v>
      </c>
      <c r="C10" s="7" t="s">
        <v>16</v>
      </c>
      <c r="D10" s="8" t="n">
        <v>99323.96</v>
      </c>
      <c r="E10" s="8" t="n">
        <v>49661.98</v>
      </c>
      <c r="F10" s="7" t="n">
        <v>984</v>
      </c>
      <c r="G10" s="7" t="n">
        <v>2</v>
      </c>
      <c r="H10" s="8" t="n">
        <v>30429.64</v>
      </c>
      <c r="I10" s="10" t="n">
        <v>2.264</v>
      </c>
      <c r="J10" s="7" t="str">
        <f aca="false">IF(I10&lt;-0.15,"ALERTA","")</f>
        <v/>
      </c>
    </row>
    <row r="11" customFormat="false" ht="15" hidden="false" customHeight="false" outlineLevel="0" collapsed="false">
      <c r="A11" s="7" t="n">
        <v>2003</v>
      </c>
      <c r="B11" s="7" t="n">
        <v>7</v>
      </c>
      <c r="C11" s="7" t="s">
        <v>17</v>
      </c>
      <c r="D11" s="8" t="n">
        <v>58871.11</v>
      </c>
      <c r="E11" s="8" t="n">
        <v>58871.11</v>
      </c>
      <c r="F11" s="7" t="n">
        <v>545</v>
      </c>
      <c r="G11" s="7" t="n">
        <v>1</v>
      </c>
      <c r="H11" s="8" t="n">
        <v>99323.96</v>
      </c>
      <c r="I11" s="10" t="n">
        <v>-0.407</v>
      </c>
      <c r="J11" s="7" t="str">
        <f aca="false">IF(I11&lt;-0.15,"ALERTA","")</f>
        <v>ALERTA</v>
      </c>
    </row>
    <row r="12" customFormat="false" ht="15" hidden="false" customHeight="false" outlineLevel="0" collapsed="false">
      <c r="A12" s="7" t="n">
        <v>2003</v>
      </c>
      <c r="B12" s="7" t="n">
        <v>8</v>
      </c>
      <c r="C12" s="7" t="s">
        <v>18</v>
      </c>
      <c r="D12" s="8" t="n">
        <v>56181.32</v>
      </c>
      <c r="E12" s="8" t="n">
        <v>56181.32</v>
      </c>
      <c r="F12" s="7" t="n">
        <v>675</v>
      </c>
      <c r="G12" s="7" t="n">
        <v>1</v>
      </c>
      <c r="H12" s="8" t="n">
        <v>58871.11</v>
      </c>
      <c r="I12" s="10" t="n">
        <v>-0.046</v>
      </c>
      <c r="J12" s="7" t="str">
        <f aca="false">IF(I12&lt;-0.15,"ALERTA","")</f>
        <v/>
      </c>
    </row>
    <row r="13" customFormat="false" ht="15" hidden="false" customHeight="false" outlineLevel="0" collapsed="false">
      <c r="A13" s="7" t="n">
        <v>2003</v>
      </c>
      <c r="B13" s="7" t="n">
        <v>9</v>
      </c>
      <c r="C13" s="7" t="s">
        <v>19</v>
      </c>
      <c r="D13" s="8" t="n">
        <v>25783.76</v>
      </c>
      <c r="E13" s="8" t="n">
        <v>25783.76</v>
      </c>
      <c r="F13" s="7" t="n">
        <v>229</v>
      </c>
      <c r="G13" s="7" t="n">
        <v>1</v>
      </c>
      <c r="H13" s="8" t="n">
        <v>56181.32</v>
      </c>
      <c r="I13" s="10" t="n">
        <v>-0.541</v>
      </c>
      <c r="J13" s="7" t="str">
        <f aca="false">IF(I13&lt;-0.15,"ALERTA","")</f>
        <v>ALERTA</v>
      </c>
    </row>
    <row r="14" customFormat="false" ht="15" hidden="false" customHeight="false" outlineLevel="0" collapsed="false">
      <c r="A14" s="7" t="n">
        <v>2003</v>
      </c>
      <c r="B14" s="7" t="n">
        <v>10</v>
      </c>
      <c r="C14" s="7" t="s">
        <v>20</v>
      </c>
      <c r="D14" s="8" t="n">
        <v>55245.02</v>
      </c>
      <c r="E14" s="8" t="n">
        <v>55245.02</v>
      </c>
      <c r="F14" s="7" t="n">
        <v>561</v>
      </c>
      <c r="G14" s="7" t="n">
        <v>1</v>
      </c>
      <c r="H14" s="8" t="n">
        <v>25783.76</v>
      </c>
      <c r="I14" s="10" t="n">
        <v>1.143</v>
      </c>
      <c r="J14" s="7" t="str">
        <f aca="false">IF(I14&lt;-0.15,"ALERTA","")</f>
        <v/>
      </c>
    </row>
    <row r="15" customFormat="false" ht="15" hidden="false" customHeight="false" outlineLevel="0" collapsed="false">
      <c r="A15" s="7" t="n">
        <v>2003</v>
      </c>
      <c r="B15" s="7" t="n">
        <v>11</v>
      </c>
      <c r="C15" s="7" t="s">
        <v>21</v>
      </c>
      <c r="D15" s="8" t="n">
        <v>27398.82</v>
      </c>
      <c r="E15" s="8" t="n">
        <v>27398.82</v>
      </c>
      <c r="F15" s="7" t="n">
        <v>212</v>
      </c>
      <c r="G15" s="7" t="n">
        <v>1</v>
      </c>
      <c r="H15" s="8" t="n">
        <v>55245.02</v>
      </c>
      <c r="I15" s="10" t="n">
        <v>-0.504</v>
      </c>
      <c r="J15" s="7" t="str">
        <f aca="false">IF(I15&lt;-0.15,"ALERTA","")</f>
        <v>ALERTA</v>
      </c>
    </row>
    <row r="16" customFormat="false" ht="15" hidden="false" customHeight="false" outlineLevel="0" collapsed="false">
      <c r="A16" s="7" t="n">
        <v>2003</v>
      </c>
      <c r="B16" s="7" t="n">
        <v>12</v>
      </c>
      <c r="C16" s="7" t="s">
        <v>22</v>
      </c>
      <c r="D16" s="8" t="n">
        <v>51017.92</v>
      </c>
      <c r="E16" s="8" t="n">
        <v>51017.92</v>
      </c>
      <c r="F16" s="7" t="n">
        <v>570</v>
      </c>
      <c r="G16" s="7" t="n">
        <v>1</v>
      </c>
      <c r="H16" s="8" t="n">
        <v>27398.82</v>
      </c>
      <c r="I16" s="10" t="n">
        <v>0.862</v>
      </c>
      <c r="J16" s="7" t="str">
        <f aca="false">IF(I16&lt;-0.15,"ALERTA","")</f>
        <v/>
      </c>
    </row>
    <row r="17" customFormat="false" ht="15" hidden="false" customHeight="false" outlineLevel="0" collapsed="false">
      <c r="A17" s="7" t="n">
        <v>2003</v>
      </c>
      <c r="B17" s="7" t="n">
        <v>13</v>
      </c>
      <c r="C17" s="7" t="s">
        <v>23</v>
      </c>
      <c r="D17" s="8" t="n">
        <v>40843.14</v>
      </c>
      <c r="E17" s="8" t="n">
        <v>13614.38</v>
      </c>
      <c r="F17" s="7" t="n">
        <v>412</v>
      </c>
      <c r="G17" s="7" t="n">
        <v>3</v>
      </c>
      <c r="H17" s="8" t="n">
        <v>51017.92</v>
      </c>
      <c r="I17" s="10" t="n">
        <v>-0.199</v>
      </c>
      <c r="J17" s="7" t="str">
        <f aca="false">IF(I17&lt;-0.15,"ALERTA","")</f>
        <v>ALERTA</v>
      </c>
    </row>
    <row r="18" customFormat="false" ht="15" hidden="false" customHeight="false" outlineLevel="0" collapsed="false">
      <c r="A18" s="7" t="n">
        <v>2003</v>
      </c>
      <c r="B18" s="7" t="n">
        <v>14</v>
      </c>
      <c r="C18" s="7" t="s">
        <v>24</v>
      </c>
      <c r="D18" s="8" t="n">
        <v>62994.82</v>
      </c>
      <c r="E18" s="8" t="n">
        <v>31497.41</v>
      </c>
      <c r="F18" s="7" t="n">
        <v>561</v>
      </c>
      <c r="G18" s="7" t="n">
        <v>2</v>
      </c>
      <c r="H18" s="8" t="n">
        <v>40843.14</v>
      </c>
      <c r="I18" s="10" t="n">
        <v>0.542</v>
      </c>
      <c r="J18" s="7" t="str">
        <f aca="false">IF(I18&lt;-0.15,"ALERTA","")</f>
        <v/>
      </c>
    </row>
    <row r="19" customFormat="false" ht="15" hidden="false" customHeight="false" outlineLevel="0" collapsed="false">
      <c r="A19" s="7" t="n">
        <v>2003</v>
      </c>
      <c r="B19" s="7" t="n">
        <v>15</v>
      </c>
      <c r="C19" s="7" t="s">
        <v>25</v>
      </c>
      <c r="D19" s="8" t="n">
        <v>1711.26</v>
      </c>
      <c r="E19" s="8" t="n">
        <v>1711.26</v>
      </c>
      <c r="F19" s="7" t="n">
        <v>27</v>
      </c>
      <c r="G19" s="7" t="n">
        <v>1</v>
      </c>
      <c r="H19" s="8" t="n">
        <v>62994.82</v>
      </c>
      <c r="I19" s="10" t="n">
        <v>-0.973</v>
      </c>
      <c r="J19" s="7" t="str">
        <f aca="false">IF(I19&lt;-0.15,"ALERTA","")</f>
        <v>ALERTA</v>
      </c>
    </row>
    <row r="20" customFormat="false" ht="15" hidden="false" customHeight="false" outlineLevel="0" collapsed="false">
      <c r="A20" s="7" t="n">
        <v>2003</v>
      </c>
      <c r="B20" s="7" t="n">
        <v>16</v>
      </c>
      <c r="C20" s="7" t="s">
        <v>26</v>
      </c>
      <c r="D20" s="8" t="n">
        <v>43657.47</v>
      </c>
      <c r="E20" s="8" t="n">
        <v>43657.47</v>
      </c>
      <c r="F20" s="7" t="n">
        <v>402</v>
      </c>
      <c r="G20" s="7" t="n">
        <v>1</v>
      </c>
      <c r="H20" s="8" t="n">
        <v>1711.26</v>
      </c>
      <c r="I20" s="10" t="n">
        <v>24.512</v>
      </c>
      <c r="J20" s="7" t="str">
        <f aca="false">IF(I20&lt;-0.15,"ALERTA","")</f>
        <v/>
      </c>
    </row>
    <row r="21" customFormat="false" ht="15" hidden="false" customHeight="false" outlineLevel="0" collapsed="false">
      <c r="A21" s="7" t="n">
        <v>2003</v>
      </c>
      <c r="B21" s="7" t="n">
        <v>17</v>
      </c>
      <c r="C21" s="7" t="s">
        <v>27</v>
      </c>
      <c r="D21" s="8" t="n">
        <v>4219.2</v>
      </c>
      <c r="E21" s="8" t="n">
        <v>4219.2</v>
      </c>
      <c r="F21" s="7" t="n">
        <v>36</v>
      </c>
      <c r="G21" s="7" t="n">
        <v>1</v>
      </c>
      <c r="H21" s="8" t="n">
        <v>43657.47</v>
      </c>
      <c r="I21" s="10" t="n">
        <v>-0.903</v>
      </c>
      <c r="J21" s="7" t="str">
        <f aca="false">IF(I21&lt;-0.15,"ALERTA","")</f>
        <v>ALERTA</v>
      </c>
    </row>
    <row r="22" customFormat="false" ht="15" hidden="false" customHeight="false" outlineLevel="0" collapsed="false">
      <c r="A22" s="7" t="n">
        <v>2003</v>
      </c>
      <c r="B22" s="7" t="n">
        <v>18</v>
      </c>
      <c r="C22" s="7" t="s">
        <v>28</v>
      </c>
      <c r="D22" s="8" t="n">
        <v>89026.8</v>
      </c>
      <c r="E22" s="8" t="n">
        <v>44513.4</v>
      </c>
      <c r="F22" s="7" t="n">
        <v>967</v>
      </c>
      <c r="G22" s="7" t="n">
        <v>2</v>
      </c>
      <c r="H22" s="8" t="n">
        <v>4219.2</v>
      </c>
      <c r="I22" s="10" t="n">
        <v>20.1</v>
      </c>
      <c r="J22" s="7" t="str">
        <f aca="false">IF(I22&lt;-0.15,"ALERTA","")</f>
        <v/>
      </c>
    </row>
    <row r="23" customFormat="false" ht="15" hidden="false" customHeight="false" outlineLevel="0" collapsed="false">
      <c r="A23" s="7" t="n">
        <v>2003</v>
      </c>
      <c r="B23" s="7" t="n">
        <v>19</v>
      </c>
      <c r="C23" s="7" t="s">
        <v>29</v>
      </c>
      <c r="D23" s="8" t="n">
        <v>71453.8</v>
      </c>
      <c r="E23" s="8" t="n">
        <v>35726.9</v>
      </c>
      <c r="F23" s="7" t="n">
        <v>730</v>
      </c>
      <c r="G23" s="7" t="n">
        <v>2</v>
      </c>
      <c r="H23" s="8" t="n">
        <v>89026.8</v>
      </c>
      <c r="I23" s="10" t="n">
        <v>-0.197</v>
      </c>
      <c r="J23" s="7" t="str">
        <f aca="false">IF(I23&lt;-0.15,"ALERTA","")</f>
        <v>ALERTA</v>
      </c>
    </row>
    <row r="24" customFormat="false" ht="15" hidden="false" customHeight="false" outlineLevel="0" collapsed="false">
      <c r="A24" s="7" t="n">
        <v>2003</v>
      </c>
      <c r="B24" s="7" t="n">
        <v>21</v>
      </c>
      <c r="C24" s="7" t="s">
        <v>30</v>
      </c>
      <c r="D24" s="8" t="n">
        <v>60146.1</v>
      </c>
      <c r="E24" s="8" t="n">
        <v>20048.7</v>
      </c>
      <c r="F24" s="7" t="n">
        <v>670</v>
      </c>
      <c r="G24" s="7" t="n">
        <v>3</v>
      </c>
      <c r="H24" s="8" t="n">
        <v>71453.8</v>
      </c>
      <c r="I24" s="10" t="n">
        <v>-0.158</v>
      </c>
      <c r="J24" s="7" t="str">
        <f aca="false">IF(I24&lt;-0.15,"ALERTA","")</f>
        <v>ALERTA</v>
      </c>
    </row>
    <row r="25" customFormat="false" ht="15" hidden="false" customHeight="false" outlineLevel="0" collapsed="false">
      <c r="A25" s="7" t="n">
        <v>2003</v>
      </c>
      <c r="B25" s="7" t="n">
        <v>22</v>
      </c>
      <c r="C25" s="7" t="s">
        <v>31</v>
      </c>
      <c r="D25" s="8" t="n">
        <v>61073.21</v>
      </c>
      <c r="E25" s="8" t="n">
        <v>61073.21</v>
      </c>
      <c r="F25" s="7" t="n">
        <v>617</v>
      </c>
      <c r="G25" s="7" t="n">
        <v>1</v>
      </c>
      <c r="H25" s="8" t="n">
        <v>60146.1</v>
      </c>
      <c r="I25" s="10" t="n">
        <v>0.015</v>
      </c>
      <c r="J25" s="7" t="str">
        <f aca="false">IF(I25&lt;-0.15,"ALERTA","")</f>
        <v/>
      </c>
    </row>
    <row r="26" customFormat="false" ht="15" hidden="false" customHeight="false" outlineLevel="0" collapsed="false">
      <c r="A26" s="7" t="n">
        <v>2003</v>
      </c>
      <c r="B26" s="7" t="n">
        <v>23</v>
      </c>
      <c r="C26" s="7" t="s">
        <v>32</v>
      </c>
      <c r="D26" s="8" t="n">
        <v>85910.23</v>
      </c>
      <c r="E26" s="8" t="n">
        <v>42955.12</v>
      </c>
      <c r="F26" s="7" t="n">
        <v>697</v>
      </c>
      <c r="G26" s="7" t="n">
        <v>2</v>
      </c>
      <c r="H26" s="8" t="n">
        <v>61073.21</v>
      </c>
      <c r="I26" s="10" t="n">
        <v>0.407</v>
      </c>
      <c r="J26" s="7" t="str">
        <f aca="false">IF(I26&lt;-0.15,"ALERTA","")</f>
        <v/>
      </c>
    </row>
    <row r="27" customFormat="false" ht="15" hidden="false" customHeight="false" outlineLevel="0" collapsed="false">
      <c r="A27" s="7" t="n">
        <v>2003</v>
      </c>
      <c r="B27" s="7" t="n">
        <v>24</v>
      </c>
      <c r="C27" s="7" t="s">
        <v>33</v>
      </c>
      <c r="D27" s="8" t="n">
        <v>32376.29</v>
      </c>
      <c r="E27" s="8" t="n">
        <v>32376.29</v>
      </c>
      <c r="F27" s="7" t="n">
        <v>349</v>
      </c>
      <c r="G27" s="7" t="n">
        <v>1</v>
      </c>
      <c r="H27" s="8" t="n">
        <v>85910.23</v>
      </c>
      <c r="I27" s="10" t="n">
        <v>-0.623</v>
      </c>
      <c r="J27" s="7" t="str">
        <f aca="false">IF(I27&lt;-0.15,"ALERTA","")</f>
        <v>ALERTA</v>
      </c>
    </row>
    <row r="28" customFormat="false" ht="15" hidden="false" customHeight="false" outlineLevel="0" collapsed="false">
      <c r="A28" s="7" t="n">
        <v>2003</v>
      </c>
      <c r="B28" s="7" t="n">
        <v>25</v>
      </c>
      <c r="C28" s="7" t="s">
        <v>34</v>
      </c>
      <c r="D28" s="8" t="n">
        <v>27628.3</v>
      </c>
      <c r="E28" s="8" t="n">
        <v>13814.15</v>
      </c>
      <c r="F28" s="7" t="n">
        <v>317</v>
      </c>
      <c r="G28" s="7" t="n">
        <v>2</v>
      </c>
      <c r="H28" s="8" t="n">
        <v>32376.29</v>
      </c>
      <c r="I28" s="10" t="n">
        <v>-0.147</v>
      </c>
      <c r="J28" s="7" t="str">
        <f aca="false">IF(I28&lt;-0.15,"ALERTA","")</f>
        <v/>
      </c>
    </row>
    <row r="29" customFormat="false" ht="15" hidden="false" customHeight="false" outlineLevel="0" collapsed="false">
      <c r="A29" s="7" t="n">
        <v>2003</v>
      </c>
      <c r="B29" s="7" t="n">
        <v>26</v>
      </c>
      <c r="C29" s="7" t="s">
        <v>35</v>
      </c>
      <c r="D29" s="8" t="n">
        <v>22167.74</v>
      </c>
      <c r="E29" s="8" t="n">
        <v>22167.74</v>
      </c>
      <c r="F29" s="7" t="n">
        <v>286</v>
      </c>
      <c r="G29" s="7" t="n">
        <v>1</v>
      </c>
      <c r="H29" s="8" t="n">
        <v>27628.3</v>
      </c>
      <c r="I29" s="10" t="n">
        <v>-0.198</v>
      </c>
      <c r="J29" s="7" t="str">
        <f aca="false">IF(I29&lt;-0.15,"ALERTA","")</f>
        <v>ALERTA</v>
      </c>
    </row>
    <row r="30" customFormat="false" ht="15" hidden="false" customHeight="false" outlineLevel="0" collapsed="false">
      <c r="A30" s="7" t="n">
        <v>2003</v>
      </c>
      <c r="B30" s="7" t="n">
        <v>27</v>
      </c>
      <c r="C30" s="7" t="s">
        <v>36</v>
      </c>
      <c r="D30" s="8" t="n">
        <v>102156.47</v>
      </c>
      <c r="E30" s="8" t="n">
        <v>34052.16</v>
      </c>
      <c r="F30" s="7" t="n">
        <v>936</v>
      </c>
      <c r="G30" s="7" t="n">
        <v>3</v>
      </c>
      <c r="H30" s="8" t="n">
        <v>22167.74</v>
      </c>
      <c r="I30" s="10" t="n">
        <v>3.608</v>
      </c>
      <c r="J30" s="7" t="str">
        <f aca="false">IF(I30&lt;-0.15,"ALERTA","")</f>
        <v/>
      </c>
    </row>
    <row r="31" customFormat="false" ht="15" hidden="false" customHeight="false" outlineLevel="0" collapsed="false">
      <c r="A31" s="7" t="n">
        <v>2003</v>
      </c>
      <c r="B31" s="7" t="n">
        <v>28</v>
      </c>
      <c r="C31" s="7" t="s">
        <v>37</v>
      </c>
      <c r="D31" s="8" t="n">
        <v>15146.32</v>
      </c>
      <c r="E31" s="8" t="n">
        <v>15146.32</v>
      </c>
      <c r="F31" s="7" t="n">
        <v>138</v>
      </c>
      <c r="G31" s="7" t="n">
        <v>1</v>
      </c>
      <c r="H31" s="8" t="n">
        <v>102156.47</v>
      </c>
      <c r="I31" s="10" t="n">
        <v>-0.852</v>
      </c>
      <c r="J31" s="7" t="str">
        <f aca="false">IF(I31&lt;-0.15,"ALERTA","")</f>
        <v>ALERTA</v>
      </c>
    </row>
    <row r="32" customFormat="false" ht="15" hidden="false" customHeight="false" outlineLevel="0" collapsed="false">
      <c r="A32" s="7" t="n">
        <v>2003</v>
      </c>
      <c r="B32" s="7" t="n">
        <v>29</v>
      </c>
      <c r="C32" s="7" t="s">
        <v>38</v>
      </c>
      <c r="D32" s="8" t="n">
        <v>28397.26</v>
      </c>
      <c r="E32" s="8" t="n">
        <v>28397.26</v>
      </c>
      <c r="F32" s="7" t="n">
        <v>266</v>
      </c>
      <c r="G32" s="7" t="n">
        <v>1</v>
      </c>
      <c r="H32" s="8" t="n">
        <v>15146.32</v>
      </c>
      <c r="I32" s="10" t="n">
        <v>0.875</v>
      </c>
      <c r="J32" s="7" t="str">
        <f aca="false">IF(I32&lt;-0.15,"ALERTA","")</f>
        <v/>
      </c>
    </row>
    <row r="33" customFormat="false" ht="15" hidden="false" customHeight="false" outlineLevel="0" collapsed="false">
      <c r="A33" s="7" t="n">
        <v>2003</v>
      </c>
      <c r="B33" s="7" t="n">
        <v>30</v>
      </c>
      <c r="C33" s="7" t="s">
        <v>39</v>
      </c>
      <c r="D33" s="8" t="n">
        <v>42031.83</v>
      </c>
      <c r="E33" s="8" t="n">
        <v>42031.83</v>
      </c>
      <c r="F33" s="7" t="n">
        <v>385</v>
      </c>
      <c r="G33" s="7" t="n">
        <v>1</v>
      </c>
      <c r="H33" s="8" t="n">
        <v>28397.26</v>
      </c>
      <c r="I33" s="10" t="n">
        <v>0.48</v>
      </c>
      <c r="J33" s="7" t="str">
        <f aca="false">IF(I33&lt;-0.15,"ALERTA","")</f>
        <v/>
      </c>
    </row>
    <row r="34" customFormat="false" ht="15" hidden="false" customHeight="false" outlineLevel="0" collapsed="false">
      <c r="A34" s="7" t="n">
        <v>2003</v>
      </c>
      <c r="B34" s="7" t="n">
        <v>31</v>
      </c>
      <c r="C34" s="7" t="s">
        <v>40</v>
      </c>
      <c r="D34" s="8" t="n">
        <v>31569.43</v>
      </c>
      <c r="E34" s="8" t="n">
        <v>31569.43</v>
      </c>
      <c r="F34" s="7" t="n">
        <v>290</v>
      </c>
      <c r="G34" s="7" t="n">
        <v>1</v>
      </c>
      <c r="H34" s="8" t="n">
        <v>42031.83</v>
      </c>
      <c r="I34" s="10" t="n">
        <v>-0.249</v>
      </c>
      <c r="J34" s="7" t="str">
        <f aca="false">IF(I34&lt;-0.15,"ALERTA","")</f>
        <v>ALERTA</v>
      </c>
    </row>
    <row r="35" customFormat="false" ht="15" hidden="false" customHeight="false" outlineLevel="0" collapsed="false">
      <c r="A35" s="7" t="n">
        <v>2003</v>
      </c>
      <c r="B35" s="7" t="n">
        <v>32</v>
      </c>
      <c r="C35" s="7" t="s">
        <v>41</v>
      </c>
      <c r="D35" s="8" t="n">
        <v>108826.55</v>
      </c>
      <c r="E35" s="8" t="n">
        <v>54413.28</v>
      </c>
      <c r="F35" s="7" t="n">
        <v>1101</v>
      </c>
      <c r="G35" s="7" t="n">
        <v>2</v>
      </c>
      <c r="H35" s="8" t="n">
        <v>31569.43</v>
      </c>
      <c r="I35" s="10" t="n">
        <v>2.447</v>
      </c>
      <c r="J35" s="7" t="str">
        <f aca="false">IF(I35&lt;-0.15,"ALERTA","")</f>
        <v/>
      </c>
    </row>
    <row r="36" customFormat="false" ht="15" hidden="false" customHeight="false" outlineLevel="0" collapsed="false">
      <c r="A36" s="7" t="n">
        <v>2003</v>
      </c>
      <c r="B36" s="7" t="n">
        <v>33</v>
      </c>
      <c r="C36" s="7" t="s">
        <v>42</v>
      </c>
      <c r="D36" s="8" t="n">
        <v>1637.2</v>
      </c>
      <c r="E36" s="8" t="n">
        <v>1637.2</v>
      </c>
      <c r="F36" s="7" t="n">
        <v>20</v>
      </c>
      <c r="G36" s="7" t="n">
        <v>1</v>
      </c>
      <c r="H36" s="8" t="n">
        <v>108826.55</v>
      </c>
      <c r="I36" s="10" t="n">
        <v>-0.985</v>
      </c>
      <c r="J36" s="7" t="str">
        <f aca="false">IF(I36&lt;-0.15,"ALERTA","")</f>
        <v>ALERTA</v>
      </c>
    </row>
    <row r="37" customFormat="false" ht="15" hidden="false" customHeight="false" outlineLevel="0" collapsed="false">
      <c r="A37" s="7" t="n">
        <v>2003</v>
      </c>
      <c r="B37" s="7" t="n">
        <v>35</v>
      </c>
      <c r="C37" s="7" t="s">
        <v>43</v>
      </c>
      <c r="D37" s="8" t="n">
        <v>55776.12</v>
      </c>
      <c r="E37" s="8" t="n">
        <v>55776.12</v>
      </c>
      <c r="F37" s="7" t="n">
        <v>563</v>
      </c>
      <c r="G37" s="7" t="n">
        <v>1</v>
      </c>
      <c r="H37" s="8" t="n">
        <v>1637.2</v>
      </c>
      <c r="I37" s="10" t="n">
        <v>33.068</v>
      </c>
      <c r="J37" s="7" t="str">
        <f aca="false">IF(I37&lt;-0.15,"ALERTA","")</f>
        <v/>
      </c>
    </row>
    <row r="38" customFormat="false" ht="15" hidden="false" customHeight="false" outlineLevel="0" collapsed="false">
      <c r="A38" s="7" t="n">
        <v>2003</v>
      </c>
      <c r="B38" s="7" t="n">
        <v>36</v>
      </c>
      <c r="C38" s="7" t="s">
        <v>44</v>
      </c>
      <c r="D38" s="8" t="n">
        <v>42592.52</v>
      </c>
      <c r="E38" s="8" t="n">
        <v>21296.26</v>
      </c>
      <c r="F38" s="7" t="n">
        <v>417</v>
      </c>
      <c r="G38" s="7" t="n">
        <v>2</v>
      </c>
      <c r="H38" s="8" t="n">
        <v>55776.12</v>
      </c>
      <c r="I38" s="10" t="n">
        <v>-0.236</v>
      </c>
      <c r="J38" s="7" t="str">
        <f aca="false">IF(I38&lt;-0.15,"ALERTA","")</f>
        <v>ALERTA</v>
      </c>
    </row>
    <row r="39" customFormat="false" ht="15" hidden="false" customHeight="false" outlineLevel="0" collapsed="false">
      <c r="A39" s="7" t="n">
        <v>2003</v>
      </c>
      <c r="B39" s="7" t="n">
        <v>37</v>
      </c>
      <c r="C39" s="7" t="s">
        <v>45</v>
      </c>
      <c r="D39" s="8" t="n">
        <v>81291.79</v>
      </c>
      <c r="E39" s="8" t="n">
        <v>40645.9</v>
      </c>
      <c r="F39" s="7" t="n">
        <v>797</v>
      </c>
      <c r="G39" s="7" t="n">
        <v>2</v>
      </c>
      <c r="H39" s="8" t="n">
        <v>42592.52</v>
      </c>
      <c r="I39" s="10" t="n">
        <v>0.909</v>
      </c>
      <c r="J39" s="7" t="str">
        <f aca="false">IF(I39&lt;-0.15,"ALERTA","")</f>
        <v/>
      </c>
    </row>
    <row r="40" customFormat="false" ht="15" hidden="false" customHeight="false" outlineLevel="0" collapsed="false">
      <c r="A40" s="7" t="n">
        <v>2003</v>
      </c>
      <c r="B40" s="7" t="n">
        <v>38</v>
      </c>
      <c r="C40" s="7" t="s">
        <v>46</v>
      </c>
      <c r="D40" s="8" t="n">
        <v>81720.94</v>
      </c>
      <c r="E40" s="8" t="n">
        <v>40860.47</v>
      </c>
      <c r="F40" s="7" t="n">
        <v>722</v>
      </c>
      <c r="G40" s="7" t="n">
        <v>2</v>
      </c>
      <c r="H40" s="8" t="n">
        <v>81291.79</v>
      </c>
      <c r="I40" s="10" t="n">
        <v>0.005</v>
      </c>
      <c r="J40" s="7" t="str">
        <f aca="false">IF(I40&lt;-0.15,"ALERTA","")</f>
        <v/>
      </c>
    </row>
    <row r="41" customFormat="false" ht="15" hidden="false" customHeight="false" outlineLevel="0" collapsed="false">
      <c r="A41" s="7" t="n">
        <v>2003</v>
      </c>
      <c r="B41" s="7" t="n">
        <v>39</v>
      </c>
      <c r="C41" s="7" t="s">
        <v>47</v>
      </c>
      <c r="D41" s="8" t="n">
        <v>58368.11</v>
      </c>
      <c r="E41" s="8" t="n">
        <v>29184.06</v>
      </c>
      <c r="F41" s="7" t="n">
        <v>574</v>
      </c>
      <c r="G41" s="7" t="n">
        <v>2</v>
      </c>
      <c r="H41" s="8" t="n">
        <v>81720.94</v>
      </c>
      <c r="I41" s="10" t="n">
        <v>-0.286</v>
      </c>
      <c r="J41" s="7" t="str">
        <f aca="false">IF(I41&lt;-0.15,"ALERTA","")</f>
        <v>ALERTA</v>
      </c>
    </row>
    <row r="42" customFormat="false" ht="15" hidden="false" customHeight="false" outlineLevel="0" collapsed="false">
      <c r="A42" s="7" t="n">
        <v>2003</v>
      </c>
      <c r="B42" s="7" t="n">
        <v>40</v>
      </c>
      <c r="C42" s="7" t="s">
        <v>48</v>
      </c>
      <c r="D42" s="8" t="n">
        <v>77478.7</v>
      </c>
      <c r="E42" s="8" t="n">
        <v>25826.23</v>
      </c>
      <c r="F42" s="7" t="n">
        <v>687</v>
      </c>
      <c r="G42" s="7" t="n">
        <v>3</v>
      </c>
      <c r="H42" s="8" t="n">
        <v>58368.11</v>
      </c>
      <c r="I42" s="10" t="n">
        <v>0.327</v>
      </c>
      <c r="J42" s="7" t="str">
        <f aca="false">IF(I42&lt;-0.15,"ALERTA","")</f>
        <v/>
      </c>
    </row>
    <row r="43" customFormat="false" ht="15" hidden="false" customHeight="false" outlineLevel="0" collapsed="false">
      <c r="A43" s="7" t="n">
        <v>2003</v>
      </c>
      <c r="B43" s="7" t="n">
        <v>41</v>
      </c>
      <c r="C43" s="7" t="s">
        <v>49</v>
      </c>
      <c r="D43" s="8" t="n">
        <v>162787.28</v>
      </c>
      <c r="E43" s="8" t="n">
        <v>27131.21</v>
      </c>
      <c r="F43" s="7" t="n">
        <v>1606</v>
      </c>
      <c r="G43" s="7" t="n">
        <v>6</v>
      </c>
      <c r="H43" s="8" t="n">
        <v>77478.7</v>
      </c>
      <c r="I43" s="10" t="n">
        <v>1.101</v>
      </c>
      <c r="J43" s="7" t="str">
        <f aca="false">IF(I43&lt;-0.15,"ALERTA","")</f>
        <v/>
      </c>
    </row>
    <row r="44" customFormat="false" ht="15" hidden="false" customHeight="false" outlineLevel="0" collapsed="false">
      <c r="A44" s="7" t="n">
        <v>2003</v>
      </c>
      <c r="B44" s="7" t="n">
        <v>42</v>
      </c>
      <c r="C44" s="7" t="s">
        <v>50</v>
      </c>
      <c r="D44" s="8" t="n">
        <v>73502.2</v>
      </c>
      <c r="E44" s="8" t="n">
        <v>36751.1</v>
      </c>
      <c r="F44" s="7" t="n">
        <v>749</v>
      </c>
      <c r="G44" s="7" t="n">
        <v>2</v>
      </c>
      <c r="H44" s="8" t="n">
        <v>162787.28</v>
      </c>
      <c r="I44" s="10" t="n">
        <v>-0.548</v>
      </c>
      <c r="J44" s="7" t="str">
        <f aca="false">IF(I44&lt;-0.15,"ALERTA","")</f>
        <v>ALERTA</v>
      </c>
    </row>
    <row r="45" customFormat="false" ht="15" hidden="false" customHeight="false" outlineLevel="0" collapsed="false">
      <c r="A45" s="7" t="n">
        <v>2003</v>
      </c>
      <c r="B45" s="7" t="n">
        <v>43</v>
      </c>
      <c r="C45" s="7" t="s">
        <v>51</v>
      </c>
      <c r="D45" s="8" t="n">
        <v>192217.32</v>
      </c>
      <c r="E45" s="8" t="n">
        <v>38443.46</v>
      </c>
      <c r="F45" s="7" t="n">
        <v>1831</v>
      </c>
      <c r="G45" s="7" t="n">
        <v>5</v>
      </c>
      <c r="H45" s="8" t="n">
        <v>73502.2</v>
      </c>
      <c r="I45" s="10" t="n">
        <v>1.615</v>
      </c>
      <c r="J45" s="7" t="str">
        <f aca="false">IF(I45&lt;-0.15,"ALERTA","")</f>
        <v/>
      </c>
    </row>
    <row r="46" customFormat="false" ht="15" hidden="false" customHeight="false" outlineLevel="0" collapsed="false">
      <c r="A46" s="7" t="n">
        <v>2003</v>
      </c>
      <c r="B46" s="7" t="n">
        <v>44</v>
      </c>
      <c r="C46" s="7" t="s">
        <v>52</v>
      </c>
      <c r="D46" s="8" t="n">
        <v>62305.47</v>
      </c>
      <c r="E46" s="8" t="n">
        <v>62305.47</v>
      </c>
      <c r="F46" s="7" t="n">
        <v>642</v>
      </c>
      <c r="G46" s="7" t="n">
        <v>1</v>
      </c>
      <c r="H46" s="8" t="n">
        <v>192217.32</v>
      </c>
      <c r="I46" s="10" t="n">
        <v>-0.676</v>
      </c>
      <c r="J46" s="7" t="str">
        <f aca="false">IF(I46&lt;-0.15,"ALERTA","")</f>
        <v>ALERTA</v>
      </c>
    </row>
    <row r="47" customFormat="false" ht="15" hidden="false" customHeight="false" outlineLevel="0" collapsed="false">
      <c r="A47" s="7" t="n">
        <v>2003</v>
      </c>
      <c r="B47" s="7" t="n">
        <v>45</v>
      </c>
      <c r="C47" s="7" t="s">
        <v>53</v>
      </c>
      <c r="D47" s="8" t="n">
        <v>325737.34</v>
      </c>
      <c r="E47" s="8" t="n">
        <v>32573.73</v>
      </c>
      <c r="F47" s="7" t="n">
        <v>3241</v>
      </c>
      <c r="G47" s="7" t="n">
        <v>10</v>
      </c>
      <c r="H47" s="8" t="n">
        <v>62305.47</v>
      </c>
      <c r="I47" s="10" t="n">
        <v>4.228</v>
      </c>
      <c r="J47" s="7" t="str">
        <f aca="false">IF(I47&lt;-0.15,"ALERTA","")</f>
        <v/>
      </c>
    </row>
    <row r="48" customFormat="false" ht="15" hidden="false" customHeight="false" outlineLevel="0" collapsed="false">
      <c r="A48" s="7" t="n">
        <v>2003</v>
      </c>
      <c r="B48" s="7" t="n">
        <v>46</v>
      </c>
      <c r="C48" s="7" t="s">
        <v>54</v>
      </c>
      <c r="D48" s="8" t="n">
        <v>331328.67</v>
      </c>
      <c r="E48" s="8" t="n">
        <v>47332.67</v>
      </c>
      <c r="F48" s="7" t="n">
        <v>3248</v>
      </c>
      <c r="G48" s="7" t="n">
        <v>7</v>
      </c>
      <c r="H48" s="8" t="n">
        <v>325737.34</v>
      </c>
      <c r="I48" s="10" t="n">
        <v>0.017</v>
      </c>
      <c r="J48" s="7" t="str">
        <f aca="false">IF(I48&lt;-0.15,"ALERTA","")</f>
        <v/>
      </c>
    </row>
    <row r="49" customFormat="false" ht="15" hidden="false" customHeight="false" outlineLevel="0" collapsed="false">
      <c r="A49" s="7" t="n">
        <v>2003</v>
      </c>
      <c r="B49" s="7" t="n">
        <v>47</v>
      </c>
      <c r="C49" s="7" t="s">
        <v>55</v>
      </c>
      <c r="D49" s="8" t="n">
        <v>183203.56</v>
      </c>
      <c r="E49" s="8" t="n">
        <v>30533.93</v>
      </c>
      <c r="F49" s="7" t="n">
        <v>1848</v>
      </c>
      <c r="G49" s="7" t="n">
        <v>6</v>
      </c>
      <c r="H49" s="8" t="n">
        <v>331328.67</v>
      </c>
      <c r="I49" s="10" t="n">
        <v>-0.447</v>
      </c>
      <c r="J49" s="7" t="str">
        <f aca="false">IF(I49&lt;-0.15,"ALERTA","")</f>
        <v>ALERTA</v>
      </c>
    </row>
    <row r="50" customFormat="false" ht="15" hidden="false" customHeight="false" outlineLevel="0" collapsed="false">
      <c r="A50" s="7" t="n">
        <v>2003</v>
      </c>
      <c r="B50" s="7" t="n">
        <v>48</v>
      </c>
      <c r="C50" s="7" t="s">
        <v>56</v>
      </c>
      <c r="D50" s="8" t="n">
        <v>189568.09</v>
      </c>
      <c r="E50" s="8" t="n">
        <v>37913.62</v>
      </c>
      <c r="F50" s="7" t="n">
        <v>1842</v>
      </c>
      <c r="G50" s="7" t="n">
        <v>5</v>
      </c>
      <c r="H50" s="8" t="n">
        <v>183203.56</v>
      </c>
      <c r="I50" s="10" t="n">
        <v>0.035</v>
      </c>
      <c r="J50" s="7" t="str">
        <f aca="false">IF(I50&lt;-0.15,"ALERTA","")</f>
        <v/>
      </c>
    </row>
    <row r="51" customFormat="false" ht="15" hidden="false" customHeight="false" outlineLevel="0" collapsed="false">
      <c r="A51" s="7" t="n">
        <v>2003</v>
      </c>
      <c r="B51" s="7" t="n">
        <v>49</v>
      </c>
      <c r="C51" s="7" t="s">
        <v>57</v>
      </c>
      <c r="D51" s="8" t="n">
        <v>198145.68</v>
      </c>
      <c r="E51" s="8" t="n">
        <v>33024.28</v>
      </c>
      <c r="F51" s="7" t="n">
        <v>1874</v>
      </c>
      <c r="G51" s="7" t="n">
        <v>6</v>
      </c>
      <c r="H51" s="8" t="n">
        <v>189568.09</v>
      </c>
      <c r="I51" s="10" t="n">
        <v>0.045</v>
      </c>
      <c r="J51" s="7" t="str">
        <f aca="false">IF(I51&lt;-0.15,"ALERTA","")</f>
        <v/>
      </c>
    </row>
    <row r="52" customFormat="false" ht="15" hidden="false" customHeight="false" outlineLevel="0" collapsed="false">
      <c r="A52" s="7" t="n">
        <v>2003</v>
      </c>
      <c r="B52" s="7" t="n">
        <v>50</v>
      </c>
      <c r="C52" s="7" t="s">
        <v>58</v>
      </c>
      <c r="D52" s="8" t="n">
        <v>63730.78</v>
      </c>
      <c r="E52" s="8" t="n">
        <v>63730.78</v>
      </c>
      <c r="F52" s="7" t="n">
        <v>615</v>
      </c>
      <c r="G52" s="7" t="n">
        <v>1</v>
      </c>
      <c r="H52" s="8" t="n">
        <v>198145.68</v>
      </c>
      <c r="I52" s="10" t="n">
        <v>-0.678</v>
      </c>
      <c r="J52" s="7" t="str">
        <f aca="false">IF(I52&lt;-0.15,"ALERTA","")</f>
        <v>ALERTA</v>
      </c>
    </row>
    <row r="53" customFormat="false" ht="15" hidden="false" customHeight="false" outlineLevel="0" collapsed="false">
      <c r="A53" s="7" t="n">
        <v>2004</v>
      </c>
      <c r="B53" s="7" t="n">
        <v>1</v>
      </c>
      <c r="C53" s="7" t="s">
        <v>59</v>
      </c>
      <c r="D53" s="8" t="n">
        <v>54536.87</v>
      </c>
      <c r="E53" s="8" t="n">
        <v>54536.87</v>
      </c>
      <c r="F53" s="7" t="n">
        <v>530</v>
      </c>
      <c r="G53" s="7" t="n">
        <v>1</v>
      </c>
      <c r="H53" s="8" t="n">
        <v>63730.78</v>
      </c>
      <c r="I53" s="10" t="n">
        <v>-0.144</v>
      </c>
      <c r="J53" s="7" t="str">
        <f aca="false">IF(I53&lt;-0.15,"ALERTA","")</f>
        <v/>
      </c>
    </row>
    <row r="54" customFormat="false" ht="15" hidden="false" customHeight="false" outlineLevel="0" collapsed="false">
      <c r="A54" s="7" t="n">
        <v>2004</v>
      </c>
      <c r="B54" s="7" t="n">
        <v>2</v>
      </c>
      <c r="C54" s="7" t="s">
        <v>60</v>
      </c>
      <c r="D54" s="8" t="n">
        <v>23889.32</v>
      </c>
      <c r="E54" s="8" t="n">
        <v>23889.32</v>
      </c>
      <c r="F54" s="7" t="n">
        <v>269</v>
      </c>
      <c r="G54" s="7" t="n">
        <v>1</v>
      </c>
      <c r="H54" s="8" t="n">
        <v>54536.87</v>
      </c>
      <c r="I54" s="10" t="n">
        <v>-0.562</v>
      </c>
      <c r="J54" s="7" t="str">
        <f aca="false">IF(I54&lt;-0.15,"ALERTA","")</f>
        <v>ALERTA</v>
      </c>
    </row>
    <row r="55" customFormat="false" ht="15" hidden="false" customHeight="false" outlineLevel="0" collapsed="false">
      <c r="A55" s="7" t="n">
        <v>2004</v>
      </c>
      <c r="B55" s="7" t="n">
        <v>3</v>
      </c>
      <c r="C55" s="7" t="s">
        <v>61</v>
      </c>
      <c r="D55" s="8" t="n">
        <v>166828.46</v>
      </c>
      <c r="E55" s="8" t="n">
        <v>55609.49</v>
      </c>
      <c r="F55" s="7" t="n">
        <v>1719</v>
      </c>
      <c r="G55" s="7" t="n">
        <v>3</v>
      </c>
      <c r="H55" s="8" t="n">
        <v>23889.32</v>
      </c>
      <c r="I55" s="10" t="n">
        <v>5.983</v>
      </c>
      <c r="J55" s="7" t="str">
        <f aca="false">IF(I55&lt;-0.15,"ALERTA","")</f>
        <v/>
      </c>
    </row>
    <row r="56" customFormat="false" ht="15" hidden="false" customHeight="false" outlineLevel="0" collapsed="false">
      <c r="A56" s="7" t="n">
        <v>2004</v>
      </c>
      <c r="B56" s="7" t="n">
        <v>4</v>
      </c>
      <c r="C56" s="7" t="s">
        <v>62</v>
      </c>
      <c r="D56" s="8" t="n">
        <v>8477.22</v>
      </c>
      <c r="E56" s="8" t="n">
        <v>8477.22</v>
      </c>
      <c r="F56" s="7" t="n">
        <v>90</v>
      </c>
      <c r="G56" s="7" t="n">
        <v>1</v>
      </c>
      <c r="H56" s="8" t="n">
        <v>166828.46</v>
      </c>
      <c r="I56" s="10" t="n">
        <v>-0.949</v>
      </c>
      <c r="J56" s="7" t="str">
        <f aca="false">IF(I56&lt;-0.15,"ALERTA","")</f>
        <v>ALERTA</v>
      </c>
    </row>
    <row r="57" customFormat="false" ht="15" hidden="false" customHeight="false" outlineLevel="0" collapsed="false">
      <c r="A57" s="7" t="n">
        <v>2004</v>
      </c>
      <c r="B57" s="7" t="n">
        <v>5</v>
      </c>
      <c r="C57" s="7" t="s">
        <v>63</v>
      </c>
      <c r="D57" s="8" t="n">
        <v>62845.55</v>
      </c>
      <c r="E57" s="8" t="n">
        <v>31422.78</v>
      </c>
      <c r="F57" s="7" t="n">
        <v>637</v>
      </c>
      <c r="G57" s="7" t="n">
        <v>2</v>
      </c>
      <c r="H57" s="8" t="n">
        <v>8477.22</v>
      </c>
      <c r="I57" s="10" t="n">
        <v>6.413</v>
      </c>
      <c r="J57" s="7" t="str">
        <f aca="false">IF(I57&lt;-0.15,"ALERTA","")</f>
        <v/>
      </c>
    </row>
    <row r="58" customFormat="false" ht="15" hidden="false" customHeight="false" outlineLevel="0" collapsed="false">
      <c r="A58" s="7" t="n">
        <v>2004</v>
      </c>
      <c r="B58" s="7" t="n">
        <v>6</v>
      </c>
      <c r="C58" s="7" t="s">
        <v>64</v>
      </c>
      <c r="D58" s="8" t="n">
        <v>29979.01</v>
      </c>
      <c r="E58" s="8" t="n">
        <v>14989.51</v>
      </c>
      <c r="F58" s="7" t="n">
        <v>283</v>
      </c>
      <c r="G58" s="7" t="n">
        <v>2</v>
      </c>
      <c r="H58" s="8" t="n">
        <v>62845.55</v>
      </c>
      <c r="I58" s="10" t="n">
        <v>-0.523</v>
      </c>
      <c r="J58" s="7" t="str">
        <f aca="false">IF(I58&lt;-0.15,"ALERTA","")</f>
        <v>ALERTA</v>
      </c>
    </row>
    <row r="59" customFormat="false" ht="15" hidden="false" customHeight="false" outlineLevel="0" collapsed="false">
      <c r="A59" s="7" t="n">
        <v>2004</v>
      </c>
      <c r="B59" s="7" t="n">
        <v>7</v>
      </c>
      <c r="C59" s="7" t="s">
        <v>65</v>
      </c>
      <c r="D59" s="8" t="n">
        <v>54902.95</v>
      </c>
      <c r="E59" s="8" t="n">
        <v>27451.48</v>
      </c>
      <c r="F59" s="7" t="n">
        <v>436</v>
      </c>
      <c r="G59" s="7" t="n">
        <v>2</v>
      </c>
      <c r="H59" s="8" t="n">
        <v>29979.01</v>
      </c>
      <c r="I59" s="10" t="n">
        <v>0.831</v>
      </c>
      <c r="J59" s="7" t="str">
        <f aca="false">IF(I59&lt;-0.15,"ALERTA","")</f>
        <v/>
      </c>
    </row>
    <row r="60" customFormat="false" ht="15" hidden="false" customHeight="false" outlineLevel="0" collapsed="false">
      <c r="A60" s="7" t="n">
        <v>2004</v>
      </c>
      <c r="B60" s="7" t="n">
        <v>8</v>
      </c>
      <c r="C60" s="7" t="s">
        <v>66</v>
      </c>
      <c r="D60" s="8" t="n">
        <v>200665.35</v>
      </c>
      <c r="E60" s="8" t="n">
        <v>40133.07</v>
      </c>
      <c r="F60" s="7" t="n">
        <v>2105</v>
      </c>
      <c r="G60" s="7" t="n">
        <v>5</v>
      </c>
      <c r="H60" s="8" t="n">
        <v>54902.95</v>
      </c>
      <c r="I60" s="10" t="n">
        <v>2.655</v>
      </c>
      <c r="J60" s="7" t="str">
        <f aca="false">IF(I60&lt;-0.15,"ALERTA","")</f>
        <v/>
      </c>
    </row>
    <row r="61" customFormat="false" ht="15" hidden="false" customHeight="false" outlineLevel="0" collapsed="false">
      <c r="A61" s="7" t="n">
        <v>2004</v>
      </c>
      <c r="B61" s="7" t="n">
        <v>9</v>
      </c>
      <c r="C61" s="7" t="s">
        <v>67</v>
      </c>
      <c r="D61" s="8" t="n">
        <v>25872.22</v>
      </c>
      <c r="E61" s="8" t="n">
        <v>25872.22</v>
      </c>
      <c r="F61" s="7" t="n">
        <v>237</v>
      </c>
      <c r="G61" s="7" t="n">
        <v>1</v>
      </c>
      <c r="H61" s="8" t="n">
        <v>200665.35</v>
      </c>
      <c r="I61" s="10" t="n">
        <v>-0.871</v>
      </c>
      <c r="J61" s="7" t="str">
        <f aca="false">IF(I61&lt;-0.15,"ALERTA","")</f>
        <v>ALERTA</v>
      </c>
    </row>
    <row r="62" customFormat="false" ht="15" hidden="false" customHeight="false" outlineLevel="0" collapsed="false">
      <c r="A62" s="7" t="n">
        <v>2004</v>
      </c>
      <c r="B62" s="7" t="n">
        <v>10</v>
      </c>
      <c r="C62" s="7" t="s">
        <v>68</v>
      </c>
      <c r="D62" s="8" t="n">
        <v>46802.27</v>
      </c>
      <c r="E62" s="8" t="n">
        <v>46802.27</v>
      </c>
      <c r="F62" s="7" t="n">
        <v>502</v>
      </c>
      <c r="G62" s="7" t="n">
        <v>1</v>
      </c>
      <c r="H62" s="8" t="n">
        <v>25872.22</v>
      </c>
      <c r="I62" s="10" t="n">
        <v>0.809</v>
      </c>
      <c r="J62" s="7" t="str">
        <f aca="false">IF(I62&lt;-0.15,"ALERTA","")</f>
        <v/>
      </c>
    </row>
    <row r="63" customFormat="false" ht="15" hidden="false" customHeight="false" outlineLevel="0" collapsed="false">
      <c r="A63" s="7" t="n">
        <v>2004</v>
      </c>
      <c r="B63" s="7" t="n">
        <v>11</v>
      </c>
      <c r="C63" s="7" t="s">
        <v>69</v>
      </c>
      <c r="D63" s="8" t="n">
        <v>70705.47</v>
      </c>
      <c r="E63" s="8" t="n">
        <v>35352.74</v>
      </c>
      <c r="F63" s="7" t="n">
        <v>670</v>
      </c>
      <c r="G63" s="7" t="n">
        <v>2</v>
      </c>
      <c r="H63" s="8" t="n">
        <v>46802.27</v>
      </c>
      <c r="I63" s="10" t="n">
        <v>0.511</v>
      </c>
      <c r="J63" s="7" t="str">
        <f aca="false">IF(I63&lt;-0.15,"ALERTA","")</f>
        <v/>
      </c>
    </row>
    <row r="64" customFormat="false" ht="15" hidden="false" customHeight="false" outlineLevel="0" collapsed="false">
      <c r="A64" s="7" t="n">
        <v>2004</v>
      </c>
      <c r="B64" s="7" t="n">
        <v>12</v>
      </c>
      <c r="C64" s="7" t="s">
        <v>70</v>
      </c>
      <c r="D64" s="8" t="n">
        <v>79503.87</v>
      </c>
      <c r="E64" s="8" t="n">
        <v>26501.29</v>
      </c>
      <c r="F64" s="7" t="n">
        <v>701</v>
      </c>
      <c r="G64" s="7" t="n">
        <v>3</v>
      </c>
      <c r="H64" s="8" t="n">
        <v>70705.47</v>
      </c>
      <c r="I64" s="10" t="n">
        <v>0.124</v>
      </c>
      <c r="J64" s="7" t="str">
        <f aca="false">IF(I64&lt;-0.15,"ALERTA","")</f>
        <v/>
      </c>
    </row>
    <row r="65" customFormat="false" ht="15" hidden="false" customHeight="false" outlineLevel="0" collapsed="false">
      <c r="A65" s="7" t="n">
        <v>2004</v>
      </c>
      <c r="B65" s="7" t="n">
        <v>14</v>
      </c>
      <c r="C65" s="7" t="s">
        <v>71</v>
      </c>
      <c r="D65" s="8" t="n">
        <v>47311.86</v>
      </c>
      <c r="E65" s="8" t="n">
        <v>15770.62</v>
      </c>
      <c r="F65" s="7" t="n">
        <v>576</v>
      </c>
      <c r="G65" s="7" t="n">
        <v>3</v>
      </c>
      <c r="H65" s="8" t="n">
        <v>79503.87</v>
      </c>
      <c r="I65" s="10" t="n">
        <v>-0.405</v>
      </c>
      <c r="J65" s="7" t="str">
        <f aca="false">IF(I65&lt;-0.15,"ALERTA","")</f>
        <v>ALERTA</v>
      </c>
    </row>
    <row r="66" customFormat="false" ht="15" hidden="false" customHeight="false" outlineLevel="0" collapsed="false">
      <c r="A66" s="7" t="n">
        <v>2004</v>
      </c>
      <c r="B66" s="7" t="n">
        <v>15</v>
      </c>
      <c r="C66" s="7" t="s">
        <v>72</v>
      </c>
      <c r="D66" s="8" t="n">
        <v>56133.9</v>
      </c>
      <c r="E66" s="8" t="n">
        <v>28066.95</v>
      </c>
      <c r="F66" s="7" t="n">
        <v>519</v>
      </c>
      <c r="G66" s="7" t="n">
        <v>2</v>
      </c>
      <c r="H66" s="8" t="n">
        <v>47311.86</v>
      </c>
      <c r="I66" s="10" t="n">
        <v>0.186</v>
      </c>
      <c r="J66" s="7" t="str">
        <f aca="false">IF(I66&lt;-0.15,"ALERTA","")</f>
        <v/>
      </c>
    </row>
    <row r="67" customFormat="false" ht="15" hidden="false" customHeight="false" outlineLevel="0" collapsed="false">
      <c r="A67" s="7" t="n">
        <v>2004</v>
      </c>
      <c r="B67" s="7" t="n">
        <v>16</v>
      </c>
      <c r="C67" s="7" t="s">
        <v>73</v>
      </c>
      <c r="D67" s="8" t="n">
        <v>74269.06</v>
      </c>
      <c r="E67" s="8" t="n">
        <v>24756.35</v>
      </c>
      <c r="F67" s="7" t="n">
        <v>660</v>
      </c>
      <c r="G67" s="7" t="n">
        <v>3</v>
      </c>
      <c r="H67" s="8" t="n">
        <v>56133.9</v>
      </c>
      <c r="I67" s="10" t="n">
        <v>0.323</v>
      </c>
      <c r="J67" s="7" t="str">
        <f aca="false">IF(I67&lt;-0.15,"ALERTA","")</f>
        <v/>
      </c>
    </row>
    <row r="68" customFormat="false" ht="15" hidden="false" customHeight="false" outlineLevel="0" collapsed="false">
      <c r="A68" s="7" t="n">
        <v>2004</v>
      </c>
      <c r="B68" s="7" t="n">
        <v>17</v>
      </c>
      <c r="C68" s="7" t="s">
        <v>74</v>
      </c>
      <c r="D68" s="8" t="n">
        <v>1698.78</v>
      </c>
      <c r="E68" s="8" t="n">
        <v>1698.78</v>
      </c>
      <c r="F68" s="7" t="n">
        <v>46</v>
      </c>
      <c r="G68" s="7" t="n">
        <v>1</v>
      </c>
      <c r="H68" s="8" t="n">
        <v>74269.06</v>
      </c>
      <c r="I68" s="10" t="n">
        <v>-0.977</v>
      </c>
      <c r="J68" s="7" t="str">
        <f aca="false">IF(I68&lt;-0.15,"ALERTA","")</f>
        <v>ALERTA</v>
      </c>
    </row>
    <row r="69" customFormat="false" ht="15" hidden="false" customHeight="false" outlineLevel="0" collapsed="false">
      <c r="A69" s="7" t="n">
        <v>2004</v>
      </c>
      <c r="B69" s="7" t="n">
        <v>18</v>
      </c>
      <c r="C69" s="7" t="s">
        <v>75</v>
      </c>
      <c r="D69" s="8" t="n">
        <v>35456.64</v>
      </c>
      <c r="E69" s="8" t="n">
        <v>17728.32</v>
      </c>
      <c r="F69" s="7" t="n">
        <v>381</v>
      </c>
      <c r="G69" s="7" t="n">
        <v>2</v>
      </c>
      <c r="H69" s="8" t="n">
        <v>1698.78</v>
      </c>
      <c r="I69" s="10" t="n">
        <v>19.872</v>
      </c>
      <c r="J69" s="7" t="str">
        <f aca="false">IF(I69&lt;-0.15,"ALERTA","")</f>
        <v/>
      </c>
    </row>
    <row r="70" customFormat="false" ht="15" hidden="false" customHeight="false" outlineLevel="0" collapsed="false">
      <c r="A70" s="7" t="n">
        <v>2004</v>
      </c>
      <c r="B70" s="7" t="n">
        <v>19</v>
      </c>
      <c r="C70" s="7" t="s">
        <v>76</v>
      </c>
      <c r="D70" s="8" t="n">
        <v>169047.87</v>
      </c>
      <c r="E70" s="8" t="n">
        <v>33809.57</v>
      </c>
      <c r="F70" s="7" t="n">
        <v>1569</v>
      </c>
      <c r="G70" s="7" t="n">
        <v>5</v>
      </c>
      <c r="H70" s="8" t="n">
        <v>35456.64</v>
      </c>
      <c r="I70" s="10" t="n">
        <v>3.768</v>
      </c>
      <c r="J70" s="7" t="str">
        <f aca="false">IF(I70&lt;-0.15,"ALERTA","")</f>
        <v/>
      </c>
    </row>
    <row r="71" customFormat="false" ht="15" hidden="false" customHeight="false" outlineLevel="0" collapsed="false">
      <c r="A71" s="7" t="n">
        <v>2004</v>
      </c>
      <c r="B71" s="7" t="n">
        <v>20</v>
      </c>
      <c r="C71" s="7" t="s">
        <v>77</v>
      </c>
      <c r="D71" s="8" t="n">
        <v>48472.24</v>
      </c>
      <c r="E71" s="8" t="n">
        <v>48472.24</v>
      </c>
      <c r="F71" s="7" t="n">
        <v>521</v>
      </c>
      <c r="G71" s="7" t="n">
        <v>1</v>
      </c>
      <c r="H71" s="8" t="n">
        <v>169047.87</v>
      </c>
      <c r="I71" s="10" t="n">
        <v>-0.713</v>
      </c>
      <c r="J71" s="7" t="str">
        <f aca="false">IF(I71&lt;-0.15,"ALERTA","")</f>
        <v>ALERTA</v>
      </c>
    </row>
    <row r="72" customFormat="false" ht="15" hidden="false" customHeight="false" outlineLevel="0" collapsed="false">
      <c r="A72" s="7" t="n">
        <v>2004</v>
      </c>
      <c r="B72" s="7" t="n">
        <v>21</v>
      </c>
      <c r="C72" s="7" t="s">
        <v>78</v>
      </c>
      <c r="D72" s="8" t="n">
        <v>27987.07</v>
      </c>
      <c r="E72" s="8" t="n">
        <v>27987.07</v>
      </c>
      <c r="F72" s="7" t="n">
        <v>216</v>
      </c>
      <c r="G72" s="7" t="n">
        <v>1</v>
      </c>
      <c r="H72" s="8" t="n">
        <v>48472.24</v>
      </c>
      <c r="I72" s="10" t="n">
        <v>-0.423</v>
      </c>
      <c r="J72" s="7" t="str">
        <f aca="false">IF(I72&lt;-0.15,"ALERTA","")</f>
        <v>ALERTA</v>
      </c>
    </row>
    <row r="73" customFormat="false" ht="15" hidden="false" customHeight="false" outlineLevel="0" collapsed="false">
      <c r="A73" s="7" t="n">
        <v>2004</v>
      </c>
      <c r="B73" s="7" t="n">
        <v>22</v>
      </c>
      <c r="C73" s="7" t="s">
        <v>79</v>
      </c>
      <c r="D73" s="8" t="n">
        <v>27931.21</v>
      </c>
      <c r="E73" s="8" t="n">
        <v>27931.21</v>
      </c>
      <c r="F73" s="7" t="n">
        <v>312</v>
      </c>
      <c r="G73" s="7" t="n">
        <v>1</v>
      </c>
      <c r="H73" s="8" t="n">
        <v>27987.07</v>
      </c>
      <c r="I73" s="10" t="n">
        <v>-0.002</v>
      </c>
      <c r="J73" s="7" t="str">
        <f aca="false">IF(I73&lt;-0.15,"ALERTA","")</f>
        <v/>
      </c>
    </row>
    <row r="74" customFormat="false" ht="15" hidden="false" customHeight="false" outlineLevel="0" collapsed="false">
      <c r="A74" s="7" t="n">
        <v>2004</v>
      </c>
      <c r="B74" s="7" t="n">
        <v>23</v>
      </c>
      <c r="C74" s="7" t="s">
        <v>80</v>
      </c>
      <c r="D74" s="8" t="n">
        <v>55825.15</v>
      </c>
      <c r="E74" s="8" t="n">
        <v>27912.58</v>
      </c>
      <c r="F74" s="7" t="n">
        <v>490</v>
      </c>
      <c r="G74" s="7" t="n">
        <v>2</v>
      </c>
      <c r="H74" s="8" t="n">
        <v>27931.21</v>
      </c>
      <c r="I74" s="10" t="n">
        <v>0.999</v>
      </c>
      <c r="J74" s="7" t="str">
        <f aca="false">IF(I74&lt;-0.15,"ALERTA","")</f>
        <v/>
      </c>
    </row>
    <row r="75" customFormat="false" ht="15" hidden="false" customHeight="false" outlineLevel="0" collapsed="false">
      <c r="A75" s="7" t="n">
        <v>2004</v>
      </c>
      <c r="B75" s="7" t="n">
        <v>24</v>
      </c>
      <c r="C75" s="7" t="s">
        <v>81</v>
      </c>
      <c r="D75" s="8" t="n">
        <v>4749.45</v>
      </c>
      <c r="E75" s="8" t="n">
        <v>4749.45</v>
      </c>
      <c r="F75" s="7" t="n">
        <v>63</v>
      </c>
      <c r="G75" s="7" t="n">
        <v>1</v>
      </c>
      <c r="H75" s="8" t="n">
        <v>55825.15</v>
      </c>
      <c r="I75" s="10" t="n">
        <v>-0.915</v>
      </c>
      <c r="J75" s="7" t="str">
        <f aca="false">IF(I75&lt;-0.15,"ALERTA","")</f>
        <v>ALERTA</v>
      </c>
    </row>
    <row r="76" customFormat="false" ht="15" hidden="false" customHeight="false" outlineLevel="0" collapsed="false">
      <c r="A76" s="7" t="n">
        <v>2004</v>
      </c>
      <c r="B76" s="7" t="n">
        <v>25</v>
      </c>
      <c r="C76" s="7" t="s">
        <v>82</v>
      </c>
      <c r="D76" s="8" t="n">
        <v>112410.1</v>
      </c>
      <c r="E76" s="8" t="n">
        <v>28102.53</v>
      </c>
      <c r="F76" s="7" t="n">
        <v>1149</v>
      </c>
      <c r="G76" s="7" t="n">
        <v>4</v>
      </c>
      <c r="H76" s="8" t="n">
        <v>4749.45</v>
      </c>
      <c r="I76" s="10" t="n">
        <v>22.668</v>
      </c>
      <c r="J76" s="7" t="str">
        <f aca="false">IF(I76&lt;-0.15,"ALERTA","")</f>
        <v/>
      </c>
    </row>
    <row r="77" customFormat="false" ht="15" hidden="false" customHeight="false" outlineLevel="0" collapsed="false">
      <c r="A77" s="7" t="n">
        <v>2004</v>
      </c>
      <c r="B77" s="7" t="n">
        <v>26</v>
      </c>
      <c r="C77" s="7" t="s">
        <v>83</v>
      </c>
      <c r="D77" s="8" t="n">
        <v>50010.65</v>
      </c>
      <c r="E77" s="8" t="n">
        <v>50010.65</v>
      </c>
      <c r="F77" s="7" t="n">
        <v>605</v>
      </c>
      <c r="G77" s="7" t="n">
        <v>1</v>
      </c>
      <c r="H77" s="8" t="n">
        <v>112410.1</v>
      </c>
      <c r="I77" s="10" t="n">
        <v>-0.555</v>
      </c>
      <c r="J77" s="7" t="str">
        <f aca="false">IF(I77&lt;-0.15,"ALERTA","")</f>
        <v>ALERTA</v>
      </c>
    </row>
    <row r="78" customFormat="false" ht="15" hidden="false" customHeight="false" outlineLevel="0" collapsed="false">
      <c r="A78" s="7" t="n">
        <v>2004</v>
      </c>
      <c r="B78" s="7" t="n">
        <v>27</v>
      </c>
      <c r="C78" s="7" t="s">
        <v>84</v>
      </c>
      <c r="D78" s="8" t="n">
        <v>76013.69</v>
      </c>
      <c r="E78" s="8" t="n">
        <v>25337.9</v>
      </c>
      <c r="F78" s="7" t="n">
        <v>758</v>
      </c>
      <c r="G78" s="7" t="n">
        <v>3</v>
      </c>
      <c r="H78" s="8" t="n">
        <v>50010.65</v>
      </c>
      <c r="I78" s="10" t="n">
        <v>0.52</v>
      </c>
      <c r="J78" s="7" t="str">
        <f aca="false">IF(I78&lt;-0.15,"ALERTA","")</f>
        <v/>
      </c>
    </row>
    <row r="79" customFormat="false" ht="15" hidden="false" customHeight="false" outlineLevel="0" collapsed="false">
      <c r="A79" s="7" t="n">
        <v>2004</v>
      </c>
      <c r="B79" s="7" t="n">
        <v>28</v>
      </c>
      <c r="C79" s="7" t="s">
        <v>85</v>
      </c>
      <c r="D79" s="8" t="n">
        <v>79673.83</v>
      </c>
      <c r="E79" s="8" t="n">
        <v>39836.92</v>
      </c>
      <c r="F79" s="7" t="n">
        <v>739</v>
      </c>
      <c r="G79" s="7" t="n">
        <v>2</v>
      </c>
      <c r="H79" s="8" t="n">
        <v>76013.69</v>
      </c>
      <c r="I79" s="10" t="n">
        <v>0.048</v>
      </c>
      <c r="J79" s="7" t="str">
        <f aca="false">IF(I79&lt;-0.15,"ALERTA","")</f>
        <v/>
      </c>
    </row>
    <row r="80" customFormat="false" ht="15" hidden="false" customHeight="false" outlineLevel="0" collapsed="false">
      <c r="A80" s="7" t="n">
        <v>2004</v>
      </c>
      <c r="B80" s="7" t="n">
        <v>29</v>
      </c>
      <c r="C80" s="7" t="s">
        <v>86</v>
      </c>
      <c r="D80" s="8" t="n">
        <v>6693.28</v>
      </c>
      <c r="E80" s="8" t="n">
        <v>6693.28</v>
      </c>
      <c r="F80" s="7" t="n">
        <v>80</v>
      </c>
      <c r="G80" s="7" t="n">
        <v>1</v>
      </c>
      <c r="H80" s="8" t="n">
        <v>79673.83</v>
      </c>
      <c r="I80" s="10" t="n">
        <v>-0.916</v>
      </c>
      <c r="J80" s="7" t="str">
        <f aca="false">IF(I80&lt;-0.15,"ALERTA","")</f>
        <v>ALERTA</v>
      </c>
    </row>
    <row r="81" customFormat="false" ht="15" hidden="false" customHeight="false" outlineLevel="0" collapsed="false">
      <c r="A81" s="7" t="n">
        <v>2004</v>
      </c>
      <c r="B81" s="7" t="n">
        <v>30</v>
      </c>
      <c r="C81" s="7" t="s">
        <v>87</v>
      </c>
      <c r="D81" s="8" t="n">
        <v>228442.16</v>
      </c>
      <c r="E81" s="8" t="n">
        <v>38073.69</v>
      </c>
      <c r="F81" s="7" t="n">
        <v>2261</v>
      </c>
      <c r="G81" s="7" t="n">
        <v>6</v>
      </c>
      <c r="H81" s="8" t="n">
        <v>6693.28</v>
      </c>
      <c r="I81" s="10" t="n">
        <v>33.13</v>
      </c>
      <c r="J81" s="7" t="str">
        <f aca="false">IF(I81&lt;-0.15,"ALERTA","")</f>
        <v/>
      </c>
    </row>
    <row r="82" customFormat="false" ht="15" hidden="false" customHeight="false" outlineLevel="0" collapsed="false">
      <c r="A82" s="7" t="n">
        <v>2004</v>
      </c>
      <c r="B82" s="7" t="n">
        <v>32</v>
      </c>
      <c r="C82" s="7" t="s">
        <v>88</v>
      </c>
      <c r="D82" s="8" t="n">
        <v>90087.09</v>
      </c>
      <c r="E82" s="8" t="n">
        <v>30029.03</v>
      </c>
      <c r="F82" s="7" t="n">
        <v>873</v>
      </c>
      <c r="G82" s="7" t="n">
        <v>3</v>
      </c>
      <c r="H82" s="8" t="n">
        <v>228442.16</v>
      </c>
      <c r="I82" s="10" t="n">
        <v>-0.606</v>
      </c>
      <c r="J82" s="7" t="str">
        <f aca="false">IF(I82&lt;-0.15,"ALERTA","")</f>
        <v>ALERTA</v>
      </c>
    </row>
    <row r="83" customFormat="false" ht="15" hidden="false" customHeight="false" outlineLevel="0" collapsed="false">
      <c r="A83" s="7" t="n">
        <v>2004</v>
      </c>
      <c r="B83" s="7" t="n">
        <v>33</v>
      </c>
      <c r="C83" s="7" t="s">
        <v>89</v>
      </c>
      <c r="D83" s="8" t="n">
        <v>21986.27</v>
      </c>
      <c r="E83" s="8" t="n">
        <v>21986.27</v>
      </c>
      <c r="F83" s="7" t="n">
        <v>236</v>
      </c>
      <c r="G83" s="7" t="n">
        <v>1</v>
      </c>
      <c r="H83" s="8" t="n">
        <v>90087.09</v>
      </c>
      <c r="I83" s="10" t="n">
        <v>-0.756</v>
      </c>
      <c r="J83" s="7" t="str">
        <f aca="false">IF(I83&lt;-0.15,"ALERTA","")</f>
        <v>ALERTA</v>
      </c>
    </row>
    <row r="84" customFormat="false" ht="15" hidden="false" customHeight="false" outlineLevel="0" collapsed="false">
      <c r="A84" s="7" t="n">
        <v>2004</v>
      </c>
      <c r="B84" s="7" t="n">
        <v>34</v>
      </c>
      <c r="C84" s="7" t="s">
        <v>90</v>
      </c>
      <c r="D84" s="8" t="n">
        <v>231144.58</v>
      </c>
      <c r="E84" s="8" t="n">
        <v>46228.92</v>
      </c>
      <c r="F84" s="7" t="n">
        <v>2348</v>
      </c>
      <c r="G84" s="7" t="n">
        <v>5</v>
      </c>
      <c r="H84" s="8" t="n">
        <v>21986.27</v>
      </c>
      <c r="I84" s="10" t="n">
        <v>9.513</v>
      </c>
      <c r="J84" s="7" t="str">
        <f aca="false">IF(I84&lt;-0.15,"ALERTA","")</f>
        <v/>
      </c>
    </row>
    <row r="85" customFormat="false" ht="15" hidden="false" customHeight="false" outlineLevel="0" collapsed="false">
      <c r="A85" s="7" t="n">
        <v>2004</v>
      </c>
      <c r="B85" s="7" t="n">
        <v>35</v>
      </c>
      <c r="C85" s="7" t="s">
        <v>91</v>
      </c>
      <c r="D85" s="8" t="n">
        <v>51002.32</v>
      </c>
      <c r="E85" s="8" t="n">
        <v>25501.16</v>
      </c>
      <c r="F85" s="7" t="n">
        <v>512</v>
      </c>
      <c r="G85" s="7" t="n">
        <v>2</v>
      </c>
      <c r="H85" s="8" t="n">
        <v>231144.58</v>
      </c>
      <c r="I85" s="10" t="n">
        <v>-0.779</v>
      </c>
      <c r="J85" s="7" t="str">
        <f aca="false">IF(I85&lt;-0.15,"ALERTA","")</f>
        <v>ALERTA</v>
      </c>
    </row>
    <row r="86" customFormat="false" ht="15" hidden="false" customHeight="false" outlineLevel="0" collapsed="false">
      <c r="A86" s="7" t="n">
        <v>2004</v>
      </c>
      <c r="B86" s="7" t="n">
        <v>36</v>
      </c>
      <c r="C86" s="7" t="s">
        <v>92</v>
      </c>
      <c r="D86" s="8" t="n">
        <v>126546.95</v>
      </c>
      <c r="E86" s="8" t="n">
        <v>42182.32</v>
      </c>
      <c r="F86" s="7" t="n">
        <v>1220</v>
      </c>
      <c r="G86" s="7" t="n">
        <v>3</v>
      </c>
      <c r="H86" s="8" t="n">
        <v>51002.32</v>
      </c>
      <c r="I86" s="10" t="n">
        <v>1.481</v>
      </c>
      <c r="J86" s="7" t="str">
        <f aca="false">IF(I86&lt;-0.15,"ALERTA","")</f>
        <v/>
      </c>
    </row>
    <row r="87" customFormat="false" ht="15" hidden="false" customHeight="false" outlineLevel="0" collapsed="false">
      <c r="A87" s="7" t="n">
        <v>2004</v>
      </c>
      <c r="B87" s="7" t="n">
        <v>37</v>
      </c>
      <c r="C87" s="7" t="s">
        <v>93</v>
      </c>
      <c r="D87" s="8" t="n">
        <v>159467.05</v>
      </c>
      <c r="E87" s="8" t="n">
        <v>26577.84</v>
      </c>
      <c r="F87" s="7" t="n">
        <v>1491</v>
      </c>
      <c r="G87" s="7" t="n">
        <v>6</v>
      </c>
      <c r="H87" s="8" t="n">
        <v>126546.95</v>
      </c>
      <c r="I87" s="10" t="n">
        <v>0.26</v>
      </c>
      <c r="J87" s="7" t="str">
        <f aca="false">IF(I87&lt;-0.15,"ALERTA","")</f>
        <v/>
      </c>
    </row>
    <row r="88" customFormat="false" ht="15" hidden="false" customHeight="false" outlineLevel="0" collapsed="false">
      <c r="A88" s="7" t="n">
        <v>2004</v>
      </c>
      <c r="B88" s="7" t="n">
        <v>38</v>
      </c>
      <c r="C88" s="7" t="s">
        <v>94</v>
      </c>
      <c r="D88" s="8" t="n">
        <v>53965.88</v>
      </c>
      <c r="E88" s="8" t="n">
        <v>26982.94</v>
      </c>
      <c r="F88" s="7" t="n">
        <v>602</v>
      </c>
      <c r="G88" s="7" t="n">
        <v>2</v>
      </c>
      <c r="H88" s="8" t="n">
        <v>159467.05</v>
      </c>
      <c r="I88" s="10" t="n">
        <v>-0.662</v>
      </c>
      <c r="J88" s="7" t="str">
        <f aca="false">IF(I88&lt;-0.15,"ALERTA","")</f>
        <v>ALERTA</v>
      </c>
    </row>
    <row r="89" customFormat="false" ht="15" hidden="false" customHeight="false" outlineLevel="0" collapsed="false">
      <c r="A89" s="7" t="n">
        <v>2004</v>
      </c>
      <c r="B89" s="7" t="n">
        <v>40</v>
      </c>
      <c r="C89" s="7" t="s">
        <v>95</v>
      </c>
      <c r="D89" s="8" t="n">
        <v>48052.04</v>
      </c>
      <c r="E89" s="8" t="n">
        <v>24026.02</v>
      </c>
      <c r="F89" s="7" t="n">
        <v>453</v>
      </c>
      <c r="G89" s="7" t="n">
        <v>2</v>
      </c>
      <c r="H89" s="8" t="n">
        <v>53965.88</v>
      </c>
      <c r="I89" s="10" t="n">
        <v>-0.11</v>
      </c>
      <c r="J89" s="7" t="str">
        <f aca="false">IF(I89&lt;-0.15,"ALERTA","")</f>
        <v/>
      </c>
    </row>
    <row r="90" customFormat="false" ht="15" hidden="false" customHeight="false" outlineLevel="0" collapsed="false">
      <c r="A90" s="7" t="n">
        <v>2004</v>
      </c>
      <c r="B90" s="7" t="n">
        <v>41</v>
      </c>
      <c r="C90" s="7" t="s">
        <v>96</v>
      </c>
      <c r="D90" s="8" t="n">
        <v>3220.88</v>
      </c>
      <c r="E90" s="8" t="n">
        <v>3220.88</v>
      </c>
      <c r="F90" s="7" t="n">
        <v>70</v>
      </c>
      <c r="G90" s="7" t="n">
        <v>1</v>
      </c>
      <c r="H90" s="8" t="n">
        <v>48052.04</v>
      </c>
      <c r="I90" s="10" t="n">
        <v>-0.933</v>
      </c>
      <c r="J90" s="7" t="str">
        <f aca="false">IF(I90&lt;-0.15,"ALERTA","")</f>
        <v>ALERTA</v>
      </c>
    </row>
    <row r="91" customFormat="false" ht="15" hidden="false" customHeight="false" outlineLevel="0" collapsed="false">
      <c r="A91" s="7" t="n">
        <v>2004</v>
      </c>
      <c r="B91" s="7" t="n">
        <v>42</v>
      </c>
      <c r="C91" s="7" t="s">
        <v>97</v>
      </c>
      <c r="D91" s="8" t="n">
        <v>369057.73</v>
      </c>
      <c r="E91" s="8" t="n">
        <v>46132.22</v>
      </c>
      <c r="F91" s="7" t="n">
        <v>3696</v>
      </c>
      <c r="G91" s="7" t="n">
        <v>8</v>
      </c>
      <c r="H91" s="8" t="n">
        <v>3220.88</v>
      </c>
      <c r="I91" s="10" t="n">
        <v>113.583</v>
      </c>
      <c r="J91" s="7" t="str">
        <f aca="false">IF(I91&lt;-0.15,"ALERTA","")</f>
        <v/>
      </c>
    </row>
    <row r="92" customFormat="false" ht="15" hidden="false" customHeight="false" outlineLevel="0" collapsed="false">
      <c r="A92" s="7" t="n">
        <v>2004</v>
      </c>
      <c r="B92" s="7" t="n">
        <v>43</v>
      </c>
      <c r="C92" s="7" t="s">
        <v>98</v>
      </c>
      <c r="D92" s="8" t="n">
        <v>159925.73</v>
      </c>
      <c r="E92" s="8" t="n">
        <v>53308.58</v>
      </c>
      <c r="F92" s="7" t="n">
        <v>1473</v>
      </c>
      <c r="G92" s="7" t="n">
        <v>3</v>
      </c>
      <c r="H92" s="8" t="n">
        <v>369057.73</v>
      </c>
      <c r="I92" s="10" t="n">
        <v>-0.567</v>
      </c>
      <c r="J92" s="7" t="str">
        <f aca="false">IF(I92&lt;-0.15,"ALERTA","")</f>
        <v>ALERTA</v>
      </c>
    </row>
    <row r="93" customFormat="false" ht="15" hidden="false" customHeight="false" outlineLevel="0" collapsed="false">
      <c r="A93" s="7" t="n">
        <v>2004</v>
      </c>
      <c r="B93" s="7" t="n">
        <v>44</v>
      </c>
      <c r="C93" s="7" t="s">
        <v>99</v>
      </c>
      <c r="D93" s="8" t="n">
        <v>20719.91</v>
      </c>
      <c r="E93" s="8" t="n">
        <v>20719.91</v>
      </c>
      <c r="F93" s="7" t="n">
        <v>244</v>
      </c>
      <c r="G93" s="7" t="n">
        <v>1</v>
      </c>
      <c r="H93" s="8" t="n">
        <v>159925.73</v>
      </c>
      <c r="I93" s="10" t="n">
        <v>-0.87</v>
      </c>
      <c r="J93" s="7" t="str">
        <f aca="false">IF(I93&lt;-0.15,"ALERTA","")</f>
        <v>ALERTA</v>
      </c>
    </row>
    <row r="94" customFormat="false" ht="15" hidden="false" customHeight="false" outlineLevel="0" collapsed="false">
      <c r="A94" s="7" t="n">
        <v>2004</v>
      </c>
      <c r="B94" s="7" t="n">
        <v>45</v>
      </c>
      <c r="C94" s="7" t="s">
        <v>100</v>
      </c>
      <c r="D94" s="8" t="n">
        <v>395198.86</v>
      </c>
      <c r="E94" s="8" t="n">
        <v>35927.17</v>
      </c>
      <c r="F94" s="7" t="n">
        <v>3704</v>
      </c>
      <c r="G94" s="7" t="n">
        <v>11</v>
      </c>
      <c r="H94" s="8" t="n">
        <v>20719.91</v>
      </c>
      <c r="I94" s="10" t="n">
        <v>18.073</v>
      </c>
      <c r="J94" s="7" t="str">
        <f aca="false">IF(I94&lt;-0.15,"ALERTA","")</f>
        <v/>
      </c>
    </row>
    <row r="95" customFormat="false" ht="15" hidden="false" customHeight="false" outlineLevel="0" collapsed="false">
      <c r="A95" s="7" t="n">
        <v>2004</v>
      </c>
      <c r="B95" s="7" t="n">
        <v>46</v>
      </c>
      <c r="C95" s="7" t="s">
        <v>101</v>
      </c>
      <c r="D95" s="8" t="n">
        <v>85921.62</v>
      </c>
      <c r="E95" s="8" t="n">
        <v>28640.54</v>
      </c>
      <c r="F95" s="7" t="n">
        <v>971</v>
      </c>
      <c r="G95" s="7" t="n">
        <v>3</v>
      </c>
      <c r="H95" s="8" t="n">
        <v>395198.86</v>
      </c>
      <c r="I95" s="10" t="n">
        <v>-0.783</v>
      </c>
      <c r="J95" s="7" t="str">
        <f aca="false">IF(I95&lt;-0.15,"ALERTA","")</f>
        <v>ALERTA</v>
      </c>
    </row>
    <row r="96" customFormat="false" ht="15" hidden="false" customHeight="false" outlineLevel="0" collapsed="false">
      <c r="A96" s="7" t="n">
        <v>2004</v>
      </c>
      <c r="B96" s="7" t="n">
        <v>47</v>
      </c>
      <c r="C96" s="7" t="s">
        <v>102</v>
      </c>
      <c r="D96" s="8" t="n">
        <v>316589.62</v>
      </c>
      <c r="E96" s="8" t="n">
        <v>35176.62</v>
      </c>
      <c r="F96" s="7" t="n">
        <v>3075</v>
      </c>
      <c r="G96" s="7" t="n">
        <v>9</v>
      </c>
      <c r="H96" s="8" t="n">
        <v>85921.62</v>
      </c>
      <c r="I96" s="10" t="n">
        <v>2.685</v>
      </c>
      <c r="J96" s="7" t="str">
        <f aca="false">IF(I96&lt;-0.15,"ALERTA","")</f>
        <v/>
      </c>
    </row>
    <row r="97" customFormat="false" ht="15" hidden="false" customHeight="false" outlineLevel="0" collapsed="false">
      <c r="A97" s="7" t="n">
        <v>2004</v>
      </c>
      <c r="B97" s="7" t="n">
        <v>48</v>
      </c>
      <c r="C97" s="7" t="s">
        <v>103</v>
      </c>
      <c r="D97" s="8" t="n">
        <v>229445.39</v>
      </c>
      <c r="E97" s="8" t="n">
        <v>28680.67</v>
      </c>
      <c r="F97" s="7" t="n">
        <v>2347</v>
      </c>
      <c r="G97" s="7" t="n">
        <v>8</v>
      </c>
      <c r="H97" s="8" t="n">
        <v>316589.62</v>
      </c>
      <c r="I97" s="10" t="n">
        <v>-0.275</v>
      </c>
      <c r="J97" s="7" t="str">
        <f aca="false">IF(I97&lt;-0.15,"ALERTA","")</f>
        <v>ALERTA</v>
      </c>
    </row>
    <row r="98" customFormat="false" ht="15" hidden="false" customHeight="false" outlineLevel="0" collapsed="false">
      <c r="A98" s="7" t="n">
        <v>2004</v>
      </c>
      <c r="B98" s="7" t="n">
        <v>49</v>
      </c>
      <c r="C98" s="7" t="s">
        <v>104</v>
      </c>
      <c r="D98" s="8" t="n">
        <v>210479.99</v>
      </c>
      <c r="E98" s="8" t="n">
        <v>30068.57</v>
      </c>
      <c r="F98" s="7" t="n">
        <v>2152</v>
      </c>
      <c r="G98" s="7" t="n">
        <v>7</v>
      </c>
      <c r="H98" s="8" t="n">
        <v>229445.39</v>
      </c>
      <c r="I98" s="10" t="n">
        <v>-0.083</v>
      </c>
      <c r="J98" s="7" t="str">
        <f aca="false">IF(I98&lt;-0.15,"ALERTA","")</f>
        <v/>
      </c>
    </row>
    <row r="99" customFormat="false" ht="15" hidden="false" customHeight="false" outlineLevel="0" collapsed="false">
      <c r="A99" s="7" t="n">
        <v>2004</v>
      </c>
      <c r="B99" s="7" t="n">
        <v>50</v>
      </c>
      <c r="C99" s="7" t="s">
        <v>105</v>
      </c>
      <c r="D99" s="8" t="n">
        <v>156095.62</v>
      </c>
      <c r="E99" s="8" t="n">
        <v>39023.91</v>
      </c>
      <c r="F99" s="7" t="n">
        <v>1514</v>
      </c>
      <c r="G99" s="7" t="n">
        <v>4</v>
      </c>
      <c r="H99" s="8" t="n">
        <v>210479.99</v>
      </c>
      <c r="I99" s="10" t="n">
        <v>-0.258</v>
      </c>
      <c r="J99" s="7" t="str">
        <f aca="false">IF(I99&lt;-0.15,"ALERTA","")</f>
        <v>ALERTA</v>
      </c>
    </row>
    <row r="100" customFormat="false" ht="15" hidden="false" customHeight="false" outlineLevel="0" collapsed="false">
      <c r="A100" s="7" t="n">
        <v>2004</v>
      </c>
      <c r="B100" s="7" t="n">
        <v>51</v>
      </c>
      <c r="C100" s="7" t="s">
        <v>106</v>
      </c>
      <c r="D100" s="8" t="n">
        <v>68119.57</v>
      </c>
      <c r="E100" s="8" t="n">
        <v>34059.79</v>
      </c>
      <c r="F100" s="7" t="n">
        <v>719</v>
      </c>
      <c r="G100" s="7" t="n">
        <v>2</v>
      </c>
      <c r="H100" s="8" t="n">
        <v>156095.62</v>
      </c>
      <c r="I100" s="10" t="n">
        <v>-0.564</v>
      </c>
      <c r="J100" s="7" t="str">
        <f aca="false">IF(I100&lt;-0.15,"ALERTA","")</f>
        <v>ALERTA</v>
      </c>
    </row>
    <row r="101" customFormat="false" ht="15" hidden="false" customHeight="false" outlineLevel="0" collapsed="false">
      <c r="A101" s="7" t="n">
        <v>2005</v>
      </c>
      <c r="B101" s="7" t="n">
        <v>1</v>
      </c>
      <c r="C101" s="7" t="s">
        <v>107</v>
      </c>
      <c r="D101" s="8" t="n">
        <v>78241.8</v>
      </c>
      <c r="E101" s="8" t="n">
        <v>19560.45</v>
      </c>
      <c r="F101" s="7" t="n">
        <v>769</v>
      </c>
      <c r="G101" s="7" t="n">
        <v>4</v>
      </c>
      <c r="H101" s="8" t="n">
        <v>68119.57</v>
      </c>
      <c r="I101" s="10" t="n">
        <v>0.149</v>
      </c>
      <c r="J101" s="7" t="str">
        <f aca="false">IF(I101&lt;-0.15,"ALERTA","")</f>
        <v/>
      </c>
    </row>
    <row r="102" customFormat="false" ht="15" hidden="false" customHeight="false" outlineLevel="0" collapsed="false">
      <c r="A102" s="7" t="n">
        <v>2005</v>
      </c>
      <c r="B102" s="7" t="n">
        <v>2</v>
      </c>
      <c r="C102" s="7" t="s">
        <v>108</v>
      </c>
      <c r="D102" s="8" t="n">
        <v>60901.52</v>
      </c>
      <c r="E102" s="8" t="n">
        <v>30450.76</v>
      </c>
      <c r="F102" s="7" t="n">
        <v>586</v>
      </c>
      <c r="G102" s="7" t="n">
        <v>2</v>
      </c>
      <c r="H102" s="8" t="n">
        <v>78241.8</v>
      </c>
      <c r="I102" s="10" t="n">
        <v>-0.222</v>
      </c>
      <c r="J102" s="7" t="str">
        <f aca="false">IF(I102&lt;-0.15,"ALERTA","")</f>
        <v>ALERTA</v>
      </c>
    </row>
    <row r="103" customFormat="false" ht="15" hidden="false" customHeight="false" outlineLevel="0" collapsed="false">
      <c r="A103" s="7" t="n">
        <v>2005</v>
      </c>
      <c r="B103" s="7" t="n">
        <v>3</v>
      </c>
      <c r="C103" s="7" t="s">
        <v>109</v>
      </c>
      <c r="D103" s="8" t="n">
        <v>113153.31</v>
      </c>
      <c r="E103" s="8" t="n">
        <v>28288.33</v>
      </c>
      <c r="F103" s="7" t="n">
        <v>1114</v>
      </c>
      <c r="G103" s="7" t="n">
        <v>4</v>
      </c>
      <c r="H103" s="8" t="n">
        <v>60901.52</v>
      </c>
      <c r="I103" s="10" t="n">
        <v>0.858</v>
      </c>
      <c r="J103" s="7" t="str">
        <f aca="false">IF(I103&lt;-0.15,"ALERTA","")</f>
        <v/>
      </c>
    </row>
    <row r="104" customFormat="false" ht="15" hidden="false" customHeight="false" outlineLevel="0" collapsed="false">
      <c r="A104" s="7" t="n">
        <v>2005</v>
      </c>
      <c r="B104" s="7" t="n">
        <v>4</v>
      </c>
      <c r="C104" s="7" t="s">
        <v>110</v>
      </c>
      <c r="D104" s="8" t="n">
        <v>38191.39</v>
      </c>
      <c r="E104" s="8" t="n">
        <v>38191.39</v>
      </c>
      <c r="F104" s="7" t="n">
        <v>321</v>
      </c>
      <c r="G104" s="7" t="n">
        <v>1</v>
      </c>
      <c r="H104" s="8" t="n">
        <v>113153.31</v>
      </c>
      <c r="I104" s="10" t="n">
        <v>-0.662</v>
      </c>
      <c r="J104" s="7" t="str">
        <f aca="false">IF(I104&lt;-0.15,"ALERTA","")</f>
        <v>ALERTA</v>
      </c>
    </row>
    <row r="105" customFormat="false" ht="15" hidden="false" customHeight="false" outlineLevel="0" collapsed="false">
      <c r="A105" s="7" t="n">
        <v>2005</v>
      </c>
      <c r="B105" s="7" t="n">
        <v>5</v>
      </c>
      <c r="C105" s="7" t="s">
        <v>111</v>
      </c>
      <c r="D105" s="8" t="n">
        <v>130402.83</v>
      </c>
      <c r="E105" s="8" t="n">
        <v>43467.61</v>
      </c>
      <c r="F105" s="7" t="n">
        <v>1374</v>
      </c>
      <c r="G105" s="7" t="n">
        <v>3</v>
      </c>
      <c r="H105" s="8" t="n">
        <v>38191.39</v>
      </c>
      <c r="I105" s="10" t="n">
        <v>2.414</v>
      </c>
      <c r="J105" s="7" t="str">
        <f aca="false">IF(I105&lt;-0.15,"ALERTA","")</f>
        <v/>
      </c>
    </row>
    <row r="106" customFormat="false" ht="15" hidden="false" customHeight="false" outlineLevel="0" collapsed="false">
      <c r="A106" s="7" t="n">
        <v>2005</v>
      </c>
      <c r="B106" s="7" t="n">
        <v>6</v>
      </c>
      <c r="C106" s="7" t="s">
        <v>112</v>
      </c>
      <c r="D106" s="8" t="n">
        <v>82185.49</v>
      </c>
      <c r="E106" s="8" t="n">
        <v>20546.37</v>
      </c>
      <c r="F106" s="7" t="n">
        <v>786</v>
      </c>
      <c r="G106" s="7" t="n">
        <v>4</v>
      </c>
      <c r="H106" s="8" t="n">
        <v>130402.83</v>
      </c>
      <c r="I106" s="10" t="n">
        <v>-0.37</v>
      </c>
      <c r="J106" s="7" t="str">
        <f aca="false">IF(I106&lt;-0.15,"ALERTA","")</f>
        <v>ALERTA</v>
      </c>
    </row>
    <row r="107" customFormat="false" ht="15" hidden="false" customHeight="false" outlineLevel="0" collapsed="false">
      <c r="A107" s="7" t="n">
        <v>2005</v>
      </c>
      <c r="B107" s="7" t="n">
        <v>7</v>
      </c>
      <c r="C107" s="7" t="s">
        <v>113</v>
      </c>
      <c r="D107" s="8" t="n">
        <v>130597.37</v>
      </c>
      <c r="E107" s="8" t="n">
        <v>43532.46</v>
      </c>
      <c r="F107" s="7" t="n">
        <v>1206</v>
      </c>
      <c r="G107" s="7" t="n">
        <v>3</v>
      </c>
      <c r="H107" s="8" t="n">
        <v>82185.49</v>
      </c>
      <c r="I107" s="10" t="n">
        <v>0.589</v>
      </c>
      <c r="J107" s="7" t="str">
        <f aca="false">IF(I107&lt;-0.15,"ALERTA","")</f>
        <v/>
      </c>
    </row>
    <row r="108" customFormat="false" ht="15" hidden="false" customHeight="false" outlineLevel="0" collapsed="false">
      <c r="A108" s="7" t="n">
        <v>2005</v>
      </c>
      <c r="B108" s="7" t="n">
        <v>8</v>
      </c>
      <c r="C108" s="7" t="s">
        <v>114</v>
      </c>
      <c r="D108" s="8" t="n">
        <v>58957.41</v>
      </c>
      <c r="E108" s="8" t="n">
        <v>29478.71</v>
      </c>
      <c r="F108" s="7" t="n">
        <v>570</v>
      </c>
      <c r="G108" s="7" t="n">
        <v>2</v>
      </c>
      <c r="H108" s="8" t="n">
        <v>130597.37</v>
      </c>
      <c r="I108" s="10" t="n">
        <v>-0.549</v>
      </c>
      <c r="J108" s="7" t="str">
        <f aca="false">IF(I108&lt;-0.15,"ALERTA","")</f>
        <v>ALERTA</v>
      </c>
    </row>
    <row r="109" customFormat="false" ht="15" hidden="false" customHeight="false" outlineLevel="0" collapsed="false">
      <c r="A109" s="7" t="n">
        <v>2005</v>
      </c>
      <c r="B109" s="7" t="n">
        <v>9</v>
      </c>
      <c r="C109" s="7" t="s">
        <v>115</v>
      </c>
      <c r="D109" s="8" t="n">
        <v>193387.46</v>
      </c>
      <c r="E109" s="8" t="n">
        <v>32231.24</v>
      </c>
      <c r="F109" s="7" t="n">
        <v>1990</v>
      </c>
      <c r="G109" s="7" t="n">
        <v>6</v>
      </c>
      <c r="H109" s="8" t="n">
        <v>58957.41</v>
      </c>
      <c r="I109" s="10" t="n">
        <v>2.28</v>
      </c>
      <c r="J109" s="7" t="str">
        <f aca="false">IF(I109&lt;-0.15,"ALERTA","")</f>
        <v/>
      </c>
    </row>
    <row r="110" customFormat="false" ht="15" hidden="false" customHeight="false" outlineLevel="0" collapsed="false">
      <c r="A110" s="7" t="n">
        <v>2005</v>
      </c>
      <c r="B110" s="7" t="n">
        <v>10</v>
      </c>
      <c r="C110" s="7" t="s">
        <v>116</v>
      </c>
      <c r="D110" s="8" t="n">
        <v>43935.41</v>
      </c>
      <c r="E110" s="8" t="n">
        <v>21967.71</v>
      </c>
      <c r="F110" s="7" t="n">
        <v>441</v>
      </c>
      <c r="G110" s="7" t="n">
        <v>2</v>
      </c>
      <c r="H110" s="8" t="n">
        <v>193387.46</v>
      </c>
      <c r="I110" s="10" t="n">
        <v>-0.773</v>
      </c>
      <c r="J110" s="7" t="str">
        <f aca="false">IF(I110&lt;-0.15,"ALERTA","")</f>
        <v>ALERTA</v>
      </c>
    </row>
    <row r="111" customFormat="false" ht="15" hidden="false" customHeight="false" outlineLevel="0" collapsed="false">
      <c r="A111" s="7" t="n">
        <v>2005</v>
      </c>
      <c r="B111" s="7" t="n">
        <v>11</v>
      </c>
      <c r="C111" s="7" t="s">
        <v>117</v>
      </c>
      <c r="D111" s="8" t="n">
        <v>42675.39</v>
      </c>
      <c r="E111" s="8" t="n">
        <v>21337.7</v>
      </c>
      <c r="F111" s="7" t="n">
        <v>395</v>
      </c>
      <c r="G111" s="7" t="n">
        <v>2</v>
      </c>
      <c r="H111" s="8" t="n">
        <v>43935.41</v>
      </c>
      <c r="I111" s="10" t="n">
        <v>-0.029</v>
      </c>
      <c r="J111" s="7" t="str">
        <f aca="false">IF(I111&lt;-0.15,"ALERTA","")</f>
        <v/>
      </c>
    </row>
    <row r="112" customFormat="false" ht="15" hidden="false" customHeight="false" outlineLevel="0" collapsed="false">
      <c r="A112" s="7" t="n">
        <v>2005</v>
      </c>
      <c r="B112" s="7" t="n">
        <v>12</v>
      </c>
      <c r="C112" s="7" t="s">
        <v>118</v>
      </c>
      <c r="D112" s="8" t="n">
        <v>32194.79</v>
      </c>
      <c r="E112" s="8" t="n">
        <v>32194.79</v>
      </c>
      <c r="F112" s="7" t="n">
        <v>287</v>
      </c>
      <c r="G112" s="7" t="n">
        <v>1</v>
      </c>
      <c r="H112" s="8" t="n">
        <v>42675.39</v>
      </c>
      <c r="I112" s="10" t="n">
        <v>-0.246</v>
      </c>
      <c r="J112" s="7" t="str">
        <f aca="false">IF(I112&lt;-0.15,"ALERTA","")</f>
        <v>ALERTA</v>
      </c>
    </row>
    <row r="113" customFormat="false" ht="15" hidden="false" customHeight="false" outlineLevel="0" collapsed="false">
      <c r="A113" s="7" t="n">
        <v>2005</v>
      </c>
      <c r="B113" s="7" t="n">
        <v>13</v>
      </c>
      <c r="C113" s="7" t="s">
        <v>119</v>
      </c>
      <c r="D113" s="8" t="n">
        <v>151214.03</v>
      </c>
      <c r="E113" s="8" t="n">
        <v>37803.51</v>
      </c>
      <c r="F113" s="7" t="n">
        <v>1742</v>
      </c>
      <c r="G113" s="7" t="n">
        <v>4</v>
      </c>
      <c r="H113" s="8" t="n">
        <v>32194.79</v>
      </c>
      <c r="I113" s="10" t="n">
        <v>3.697</v>
      </c>
      <c r="J113" s="7" t="str">
        <f aca="false">IF(I113&lt;-0.15,"ALERTA","")</f>
        <v/>
      </c>
    </row>
    <row r="114" customFormat="false" ht="15" hidden="false" customHeight="false" outlineLevel="0" collapsed="false">
      <c r="A114" s="7" t="n">
        <v>2005</v>
      </c>
      <c r="B114" s="7" t="n">
        <v>14</v>
      </c>
      <c r="C114" s="7" t="s">
        <v>120</v>
      </c>
      <c r="D114" s="8" t="n">
        <v>54869.61</v>
      </c>
      <c r="E114" s="8" t="n">
        <v>27434.81</v>
      </c>
      <c r="F114" s="7" t="n">
        <v>530</v>
      </c>
      <c r="G114" s="7" t="n">
        <v>2</v>
      </c>
      <c r="H114" s="8" t="n">
        <v>151214.03</v>
      </c>
      <c r="I114" s="10" t="n">
        <v>-0.637</v>
      </c>
      <c r="J114" s="7" t="str">
        <f aca="false">IF(I114&lt;-0.15,"ALERTA","")</f>
        <v>ALERTA</v>
      </c>
    </row>
    <row r="115" customFormat="false" ht="15" hidden="false" customHeight="false" outlineLevel="0" collapsed="false">
      <c r="A115" s="7" t="n">
        <v>2005</v>
      </c>
      <c r="B115" s="7" t="n">
        <v>15</v>
      </c>
      <c r="C115" s="7" t="s">
        <v>121</v>
      </c>
      <c r="D115" s="8" t="n">
        <v>61693.22</v>
      </c>
      <c r="E115" s="8" t="n">
        <v>30846.61</v>
      </c>
      <c r="F115" s="7" t="n">
        <v>510</v>
      </c>
      <c r="G115" s="7" t="n">
        <v>2</v>
      </c>
      <c r="H115" s="8" t="n">
        <v>54869.61</v>
      </c>
      <c r="I115" s="10" t="n">
        <v>0.124</v>
      </c>
      <c r="J115" s="7" t="str">
        <f aca="false">IF(I115&lt;-0.15,"ALERTA","")</f>
        <v/>
      </c>
    </row>
    <row r="116" customFormat="false" ht="15" hidden="false" customHeight="false" outlineLevel="0" collapsed="false">
      <c r="A116" s="7" t="n">
        <v>2005</v>
      </c>
      <c r="B116" s="7" t="n">
        <v>16</v>
      </c>
      <c r="C116" s="7" t="s">
        <v>122</v>
      </c>
      <c r="D116" s="8" t="n">
        <v>61024.62</v>
      </c>
      <c r="E116" s="8" t="n">
        <v>20341.54</v>
      </c>
      <c r="F116" s="7" t="n">
        <v>653</v>
      </c>
      <c r="G116" s="7" t="n">
        <v>3</v>
      </c>
      <c r="H116" s="8" t="n">
        <v>61693.22</v>
      </c>
      <c r="I116" s="10" t="n">
        <v>-0.011</v>
      </c>
      <c r="J116" s="7" t="str">
        <f aca="false">IF(I116&lt;-0.15,"ALERTA","")</f>
        <v/>
      </c>
    </row>
    <row r="117" customFormat="false" ht="15" hidden="false" customHeight="false" outlineLevel="0" collapsed="false">
      <c r="A117" s="7" t="n">
        <v>2005</v>
      </c>
      <c r="B117" s="7" t="n">
        <v>17</v>
      </c>
      <c r="C117" s="7" t="s">
        <v>123</v>
      </c>
      <c r="D117" s="8" t="n">
        <v>33692.97</v>
      </c>
      <c r="E117" s="8" t="n">
        <v>33692.97</v>
      </c>
      <c r="F117" s="7" t="n">
        <v>285</v>
      </c>
      <c r="G117" s="7" t="n">
        <v>1</v>
      </c>
      <c r="H117" s="8" t="n">
        <v>61024.62</v>
      </c>
      <c r="I117" s="10" t="n">
        <v>-0.448</v>
      </c>
      <c r="J117" s="7" t="str">
        <f aca="false">IF(I117&lt;-0.15,"ALERTA","")</f>
        <v>ALERTA</v>
      </c>
    </row>
    <row r="118" customFormat="false" ht="15" hidden="false" customHeight="false" outlineLevel="0" collapsed="false">
      <c r="A118" s="7" t="n">
        <v>2005</v>
      </c>
      <c r="B118" s="7" t="n">
        <v>18</v>
      </c>
      <c r="C118" s="7" t="s">
        <v>124</v>
      </c>
      <c r="D118" s="8" t="n">
        <v>132253.1</v>
      </c>
      <c r="E118" s="8" t="n">
        <v>44084.37</v>
      </c>
      <c r="F118" s="7" t="n">
        <v>1190</v>
      </c>
      <c r="G118" s="7" t="n">
        <v>3</v>
      </c>
      <c r="H118" s="8" t="n">
        <v>33692.97</v>
      </c>
      <c r="I118" s="10" t="n">
        <v>2.925</v>
      </c>
      <c r="J118" s="7" t="str">
        <f aca="false">IF(I118&lt;-0.15,"ALERTA","")</f>
        <v/>
      </c>
    </row>
    <row r="119" customFormat="false" ht="15" hidden="false" customHeight="false" outlineLevel="0" collapsed="false">
      <c r="A119" s="7" t="n">
        <v>2005</v>
      </c>
      <c r="B119" s="7" t="n">
        <v>19</v>
      </c>
      <c r="C119" s="7" t="s">
        <v>125</v>
      </c>
      <c r="D119" s="8" t="n">
        <v>87709.93</v>
      </c>
      <c r="E119" s="8" t="n">
        <v>29236.64</v>
      </c>
      <c r="F119" s="7" t="n">
        <v>883</v>
      </c>
      <c r="G119" s="7" t="n">
        <v>3</v>
      </c>
      <c r="H119" s="8" t="n">
        <v>132253.1</v>
      </c>
      <c r="I119" s="10" t="n">
        <v>-0.337</v>
      </c>
      <c r="J119" s="7" t="str">
        <f aca="false">IF(I119&lt;-0.15,"ALERTA","")</f>
        <v>ALERTA</v>
      </c>
    </row>
    <row r="120" customFormat="false" ht="15" hidden="false" customHeight="false" outlineLevel="0" collapsed="false">
      <c r="A120" s="7" t="n">
        <v>2005</v>
      </c>
      <c r="B120" s="7" t="n">
        <v>20</v>
      </c>
      <c r="C120" s="7" t="s">
        <v>126</v>
      </c>
      <c r="D120" s="8" t="n">
        <v>59475.1</v>
      </c>
      <c r="E120" s="8" t="n">
        <v>59475.1</v>
      </c>
      <c r="F120" s="7" t="n">
        <v>509</v>
      </c>
      <c r="G120" s="7" t="n">
        <v>1</v>
      </c>
      <c r="H120" s="8" t="n">
        <v>87709.93</v>
      </c>
      <c r="I120" s="10" t="n">
        <v>-0.322</v>
      </c>
      <c r="J120" s="7" t="str">
        <f aca="false">IF(I120&lt;-0.15,"ALERTA","")</f>
        <v>ALERTA</v>
      </c>
    </row>
    <row r="121" customFormat="false" ht="15" hidden="false" customHeight="false" outlineLevel="0" collapsed="false">
      <c r="A121" s="7" t="n">
        <v>2005</v>
      </c>
      <c r="B121" s="7" t="n">
        <v>21</v>
      </c>
      <c r="C121" s="7" t="s">
        <v>127</v>
      </c>
      <c r="D121" s="8" t="n">
        <v>51233.18</v>
      </c>
      <c r="E121" s="8" t="n">
        <v>25616.59</v>
      </c>
      <c r="F121" s="7" t="n">
        <v>607</v>
      </c>
      <c r="G121" s="7" t="n">
        <v>2</v>
      </c>
      <c r="H121" s="8" t="n">
        <v>59475.1</v>
      </c>
      <c r="I121" s="10" t="n">
        <v>-0.139</v>
      </c>
      <c r="J121" s="7" t="str">
        <f aca="false">IF(I121&lt;-0.15,"ALERTA","")</f>
        <v/>
      </c>
    </row>
    <row r="122" customFormat="false" ht="15" hidden="false" customHeight="false" outlineLevel="0" collapsed="false">
      <c r="A122" s="7" t="n">
        <v>2005</v>
      </c>
      <c r="B122" s="7" t="n">
        <v>22</v>
      </c>
      <c r="C122" s="7" t="s">
        <v>128</v>
      </c>
      <c r="D122" s="8" t="n">
        <v>93496.78</v>
      </c>
      <c r="E122" s="8" t="n">
        <v>23374.2</v>
      </c>
      <c r="F122" s="7" t="n">
        <v>883</v>
      </c>
      <c r="G122" s="7" t="n">
        <v>4</v>
      </c>
      <c r="H122" s="8" t="n">
        <v>51233.18</v>
      </c>
      <c r="I122" s="10" t="n">
        <v>0.825</v>
      </c>
      <c r="J122" s="7" t="str">
        <f aca="false">IF(I122&lt;-0.15,"ALERTA","")</f>
        <v/>
      </c>
    </row>
    <row r="123" customFormat="false" ht="15" hidden="false" customHeight="false" outlineLevel="0" collapsed="false">
      <c r="A123" s="11" t="s">
        <v>129</v>
      </c>
      <c r="B123" s="11"/>
      <c r="C123" s="11"/>
      <c r="D123" s="12" t="n">
        <v>10032628.85</v>
      </c>
      <c r="E123" s="12" t="n">
        <v>32121.57</v>
      </c>
      <c r="F123" s="11" t="n">
        <v>99067</v>
      </c>
      <c r="G123" s="11" t="n">
        <v>307</v>
      </c>
      <c r="H123" s="11"/>
      <c r="I123" s="11"/>
      <c r="J123" s="11"/>
    </row>
  </sheetData>
  <mergeCells count="9">
    <mergeCell ref="A1:J1"/>
    <mergeCell ref="A2:J2"/>
    <mergeCell ref="A4:C4"/>
    <mergeCell ref="D4:F4"/>
    <mergeCell ref="G4:I4"/>
    <mergeCell ref="A5:C5"/>
    <mergeCell ref="D5:F5"/>
    <mergeCell ref="G5:I5"/>
    <mergeCell ref="A123:C123"/>
  </mergeCells>
  <conditionalFormatting sqref="J9:J122">
    <cfRule type="cellIs" priority="2" operator="equal" aboveAverage="0" equalAverage="0" bottom="0" percent="0" rank="0" text="" dxfId="0">
      <formula>"ALERTA"</formula>
    </cfRule>
  </conditionalFormatting>
  <conditionalFormatting sqref="I9:I122">
    <cfRule type="expression" priority="3" aboveAverage="0" equalAverage="0" bottom="0" percent="0" rank="0" text="" dxfId="1">
      <formula>I9&lt;-0.15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2026-08-28T19:52:58Z</dcterms:created>
  <dc:creator>openpyxl</dc:creator>
  <dc:description/>
  <dc:language>en-US</dc:language>
  <cp:lastModifiedBy/>
  <dcterms:modified xsi:type="dcterms:W3CDTF">2026-08-28T19:52:58Z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